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491821b57cf911/Jobs/Archive/Interview/BBVA/vSent/"/>
    </mc:Choice>
  </mc:AlternateContent>
  <xr:revisionPtr revIDLastSave="583" documentId="8_{6575617B-C4A0-4A6E-986B-5A3AD0937EC3}" xr6:coauthVersionLast="47" xr6:coauthVersionMax="47" xr10:uidLastSave="{7478F21A-C8D5-4E85-9FA8-DB1A77E28C05}"/>
  <bookViews>
    <workbookView xWindow="-110" yWindow="-110" windowWidth="38620" windowHeight="21100" xr2:uid="{00978980-88C5-43A2-9A5C-FC5250D2A459}"/>
  </bookViews>
  <sheets>
    <sheet name="Summary" sheetId="3" r:id="rId1"/>
    <sheet name="Sensitivity" sheetId="7" r:id="rId2"/>
    <sheet name="Input" sheetId="1" r:id="rId3"/>
    <sheet name="Model" sheetId="2" r:id="rId4"/>
    <sheet name="F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D124" i="2"/>
  <c r="D15" i="8"/>
  <c r="D54" i="8"/>
  <c r="D52" i="8"/>
  <c r="D51" i="8"/>
  <c r="D50" i="8"/>
  <c r="D47" i="8"/>
  <c r="D46" i="8"/>
  <c r="D43" i="8"/>
  <c r="D40" i="8"/>
  <c r="D36" i="8"/>
  <c r="D35" i="8"/>
  <c r="D33" i="8"/>
  <c r="D32" i="8"/>
  <c r="D31" i="8"/>
  <c r="D29" i="8"/>
  <c r="D27" i="8"/>
  <c r="D26" i="8"/>
  <c r="D25" i="8"/>
  <c r="D23" i="8"/>
  <c r="D14" i="8"/>
  <c r="D8" i="8"/>
  <c r="D13" i="8"/>
  <c r="D12" i="8"/>
  <c r="D11" i="8"/>
  <c r="D10" i="8"/>
  <c r="D7" i="8"/>
  <c r="D18" i="3"/>
  <c r="D298" i="2"/>
  <c r="D297" i="2"/>
  <c r="D290" i="2"/>
  <c r="D284" i="2"/>
  <c r="G15" i="3"/>
  <c r="F15" i="3"/>
  <c r="E5" i="3"/>
  <c r="E4" i="7" s="1"/>
  <c r="D5" i="3"/>
  <c r="D287" i="2"/>
  <c r="D286" i="2"/>
  <c r="E40" i="1"/>
  <c r="D31" i="1"/>
  <c r="D234" i="2"/>
  <c r="D185" i="2"/>
  <c r="D123" i="2"/>
  <c r="D208" i="2"/>
  <c r="D195" i="2"/>
  <c r="D243" i="2"/>
  <c r="D242" i="2"/>
  <c r="D241" i="2"/>
  <c r="D213" i="2"/>
  <c r="D232" i="2" l="1"/>
  <c r="D20" i="8"/>
  <c r="E35" i="1"/>
  <c r="D149" i="2"/>
  <c r="D216" i="2"/>
  <c r="D28" i="8" s="1"/>
  <c r="D207" i="2" l="1"/>
  <c r="D175" i="2"/>
  <c r="E173" i="2"/>
  <c r="E172" i="2"/>
  <c r="D173" i="2"/>
  <c r="D172" i="2"/>
  <c r="D131" i="2"/>
  <c r="E152" i="2"/>
  <c r="E189" i="2" s="1"/>
  <c r="D60" i="2"/>
  <c r="E65" i="2"/>
  <c r="D130" i="2"/>
  <c r="D143" i="2"/>
  <c r="D168" i="2" s="1"/>
  <c r="D184" i="2" s="1"/>
  <c r="E137" i="2"/>
  <c r="D137" i="2"/>
  <c r="E136" i="2"/>
  <c r="D136" i="2"/>
  <c r="E134" i="2"/>
  <c r="E138" i="2"/>
  <c r="E294" i="2" s="1"/>
  <c r="D138" i="2"/>
  <c r="D159" i="2" s="1"/>
  <c r="D186" i="2" s="1"/>
  <c r="D231" i="2" l="1"/>
  <c r="D19" i="8"/>
  <c r="S294" i="2"/>
  <c r="AM294" i="2"/>
  <c r="T294" i="2"/>
  <c r="AN294" i="2"/>
  <c r="AP294" i="2"/>
  <c r="X294" i="2"/>
  <c r="AR294" i="2"/>
  <c r="Z294" i="2"/>
  <c r="AA294" i="2"/>
  <c r="AU294" i="2"/>
  <c r="AB294" i="2"/>
  <c r="AD294" i="2"/>
  <c r="AE294" i="2"/>
  <c r="L294" i="2"/>
  <c r="AF294" i="2"/>
  <c r="M294" i="2"/>
  <c r="AG294" i="2"/>
  <c r="N294" i="2"/>
  <c r="AH294" i="2"/>
  <c r="AI294" i="2"/>
  <c r="P294" i="2"/>
  <c r="AJ294" i="2"/>
  <c r="AK294" i="2"/>
  <c r="R294" i="2"/>
  <c r="AL294" i="2"/>
  <c r="U294" i="2"/>
  <c r="AO294" i="2"/>
  <c r="V294" i="2"/>
  <c r="W294" i="2"/>
  <c r="AQ294" i="2"/>
  <c r="Y294" i="2"/>
  <c r="AS294" i="2"/>
  <c r="AT294" i="2"/>
  <c r="K294" i="2"/>
  <c r="AC294" i="2"/>
  <c r="O294" i="2"/>
  <c r="Q294" i="2"/>
  <c r="E159" i="2"/>
  <c r="E186" i="2" s="1"/>
  <c r="D122" i="2"/>
  <c r="D81" i="2"/>
  <c r="E73" i="2"/>
  <c r="D73" i="2"/>
  <c r="D61" i="2"/>
  <c r="D20" i="2"/>
  <c r="E54" i="2"/>
  <c r="AD54" i="2" s="1"/>
  <c r="D54" i="2"/>
  <c r="E46" i="1"/>
  <c r="E53" i="2"/>
  <c r="D53" i="2"/>
  <c r="E47" i="2"/>
  <c r="N47" i="2" s="1"/>
  <c r="D47" i="2"/>
  <c r="E45" i="2"/>
  <c r="K45" i="2" s="1"/>
  <c r="D45" i="2"/>
  <c r="E44" i="2"/>
  <c r="R44" i="2" s="1"/>
  <c r="D44" i="2"/>
  <c r="E39" i="2"/>
  <c r="D39" i="2"/>
  <c r="E38" i="2"/>
  <c r="E33" i="2"/>
  <c r="AR33" i="2" s="1"/>
  <c r="E31" i="2"/>
  <c r="D33" i="2"/>
  <c r="D31" i="2"/>
  <c r="D22" i="2"/>
  <c r="D21" i="2"/>
  <c r="E27" i="2"/>
  <c r="L27" i="2" s="1"/>
  <c r="E26" i="2"/>
  <c r="L26" i="2" s="1"/>
  <c r="D26" i="2"/>
  <c r="D106" i="2" l="1"/>
  <c r="D5" i="8"/>
  <c r="Q186" i="2"/>
  <c r="AK186" i="2"/>
  <c r="R186" i="2"/>
  <c r="AL186" i="2"/>
  <c r="AM186" i="2"/>
  <c r="T186" i="2"/>
  <c r="AN186" i="2"/>
  <c r="U186" i="2"/>
  <c r="AO186" i="2"/>
  <c r="V186" i="2"/>
  <c r="AP186" i="2"/>
  <c r="W186" i="2"/>
  <c r="AQ186" i="2"/>
  <c r="X186" i="2"/>
  <c r="AR186" i="2"/>
  <c r="Y186" i="2"/>
  <c r="AS186" i="2"/>
  <c r="Z186" i="2"/>
  <c r="AT186" i="2"/>
  <c r="AA186" i="2"/>
  <c r="AU186" i="2"/>
  <c r="AB186" i="2"/>
  <c r="K186" i="2"/>
  <c r="AC186" i="2"/>
  <c r="AD186" i="2"/>
  <c r="AE186" i="2"/>
  <c r="L186" i="2"/>
  <c r="AF186" i="2"/>
  <c r="M186" i="2"/>
  <c r="AG186" i="2"/>
  <c r="N186" i="2"/>
  <c r="AH186" i="2"/>
  <c r="O186" i="2"/>
  <c r="AI186" i="2"/>
  <c r="P186" i="2"/>
  <c r="AJ186" i="2"/>
  <c r="S186" i="2"/>
  <c r="AF54" i="2"/>
  <c r="AE54" i="2"/>
  <c r="L54" i="2"/>
  <c r="AC54" i="2"/>
  <c r="K54" i="2"/>
  <c r="AB54" i="2"/>
  <c r="AU54" i="2"/>
  <c r="AA54" i="2"/>
  <c r="AT54" i="2"/>
  <c r="Z54" i="2"/>
  <c r="AS54" i="2"/>
  <c r="Y54" i="2"/>
  <c r="AR54" i="2"/>
  <c r="X54" i="2"/>
  <c r="AQ54" i="2"/>
  <c r="W54" i="2"/>
  <c r="AP54" i="2"/>
  <c r="V54" i="2"/>
  <c r="AO54" i="2"/>
  <c r="U54" i="2"/>
  <c r="AN54" i="2"/>
  <c r="T54" i="2"/>
  <c r="AM54" i="2"/>
  <c r="S54" i="2"/>
  <c r="AL54" i="2"/>
  <c r="R54" i="2"/>
  <c r="AK54" i="2"/>
  <c r="Q54" i="2"/>
  <c r="AJ54" i="2"/>
  <c r="P54" i="2"/>
  <c r="AI54" i="2"/>
  <c r="O54" i="2"/>
  <c r="AH54" i="2"/>
  <c r="N54" i="2"/>
  <c r="AG54" i="2"/>
  <c r="M54" i="2"/>
  <c r="AA47" i="2"/>
  <c r="Z47" i="2"/>
  <c r="M47" i="2"/>
  <c r="AJ44" i="2"/>
  <c r="AI44" i="2"/>
  <c r="AH44" i="2"/>
  <c r="Q44" i="2"/>
  <c r="P44" i="2"/>
  <c r="O44" i="2"/>
  <c r="AK44" i="2"/>
  <c r="N44" i="2"/>
  <c r="L47" i="2"/>
  <c r="K47" i="2"/>
  <c r="AU45" i="2"/>
  <c r="AT45" i="2"/>
  <c r="AS45" i="2"/>
  <c r="AD45" i="2"/>
  <c r="AC45" i="2"/>
  <c r="AB45" i="2"/>
  <c r="AA45" i="2"/>
  <c r="AU47" i="2"/>
  <c r="Z45" i="2"/>
  <c r="AT47" i="2"/>
  <c r="Y45" i="2"/>
  <c r="AG47" i="2"/>
  <c r="AF47" i="2"/>
  <c r="AE47" i="2"/>
  <c r="AD47" i="2"/>
  <c r="AC47" i="2"/>
  <c r="AB47" i="2"/>
  <c r="AG44" i="2"/>
  <c r="M44" i="2"/>
  <c r="AF44" i="2"/>
  <c r="L44" i="2"/>
  <c r="AE44" i="2"/>
  <c r="AR45" i="2"/>
  <c r="X45" i="2"/>
  <c r="AD44" i="2"/>
  <c r="AQ45" i="2"/>
  <c r="W45" i="2"/>
  <c r="AC44" i="2"/>
  <c r="AS47" i="2"/>
  <c r="Y47" i="2"/>
  <c r="AP45" i="2"/>
  <c r="V45" i="2"/>
  <c r="K44" i="2"/>
  <c r="AB44" i="2"/>
  <c r="AR47" i="2"/>
  <c r="X47" i="2"/>
  <c r="AO45" i="2"/>
  <c r="U45" i="2"/>
  <c r="AU44" i="2"/>
  <c r="AA44" i="2"/>
  <c r="AQ47" i="2"/>
  <c r="W47" i="2"/>
  <c r="AN45" i="2"/>
  <c r="T45" i="2"/>
  <c r="AT44" i="2"/>
  <c r="Z44" i="2"/>
  <c r="AP47" i="2"/>
  <c r="V47" i="2"/>
  <c r="AM45" i="2"/>
  <c r="S45" i="2"/>
  <c r="AS44" i="2"/>
  <c r="Y44" i="2"/>
  <c r="AO47" i="2"/>
  <c r="U47" i="2"/>
  <c r="AL45" i="2"/>
  <c r="R45" i="2"/>
  <c r="AR44" i="2"/>
  <c r="X44" i="2"/>
  <c r="AN47" i="2"/>
  <c r="T47" i="2"/>
  <c r="AK45" i="2"/>
  <c r="Q45" i="2"/>
  <c r="AQ44" i="2"/>
  <c r="W44" i="2"/>
  <c r="AM47" i="2"/>
  <c r="S47" i="2"/>
  <c r="AJ45" i="2"/>
  <c r="P45" i="2"/>
  <c r="AP44" i="2"/>
  <c r="V44" i="2"/>
  <c r="AL47" i="2"/>
  <c r="R47" i="2"/>
  <c r="AI45" i="2"/>
  <c r="O45" i="2"/>
  <c r="AO44" i="2"/>
  <c r="U44" i="2"/>
  <c r="AK47" i="2"/>
  <c r="Q47" i="2"/>
  <c r="AH45" i="2"/>
  <c r="N45" i="2"/>
  <c r="AN44" i="2"/>
  <c r="T44" i="2"/>
  <c r="AJ47" i="2"/>
  <c r="P47" i="2"/>
  <c r="AG45" i="2"/>
  <c r="M45" i="2"/>
  <c r="AM44" i="2"/>
  <c r="S44" i="2"/>
  <c r="AI47" i="2"/>
  <c r="O47" i="2"/>
  <c r="AF45" i="2"/>
  <c r="L45" i="2"/>
  <c r="AL44" i="2"/>
  <c r="AH47" i="2"/>
  <c r="AE45" i="2"/>
  <c r="Y33" i="2"/>
  <c r="Z33" i="2"/>
  <c r="AA33" i="2"/>
  <c r="AB33" i="2"/>
  <c r="AC33" i="2"/>
  <c r="AS33" i="2"/>
  <c r="AT33" i="2"/>
  <c r="AU33" i="2"/>
  <c r="AD33" i="2"/>
  <c r="K33" i="2"/>
  <c r="AE33" i="2"/>
  <c r="L33" i="2"/>
  <c r="AF33" i="2"/>
  <c r="M33" i="2"/>
  <c r="AG33" i="2"/>
  <c r="N33" i="2"/>
  <c r="AH33" i="2"/>
  <c r="O33" i="2"/>
  <c r="AI33" i="2"/>
  <c r="P33" i="2"/>
  <c r="AJ33" i="2"/>
  <c r="Q33" i="2"/>
  <c r="AK33" i="2"/>
  <c r="R33" i="2"/>
  <c r="AL33" i="2"/>
  <c r="S33" i="2"/>
  <c r="AM33" i="2"/>
  <c r="T33" i="2"/>
  <c r="AN33" i="2"/>
  <c r="U33" i="2"/>
  <c r="AO33" i="2"/>
  <c r="V33" i="2"/>
  <c r="AP33" i="2"/>
  <c r="W33" i="2"/>
  <c r="AQ33" i="2"/>
  <c r="X33" i="2"/>
  <c r="AE27" i="2"/>
  <c r="AD27" i="2"/>
  <c r="AC27" i="2"/>
  <c r="K27" i="2"/>
  <c r="AB27" i="2"/>
  <c r="AU27" i="2"/>
  <c r="AA27" i="2"/>
  <c r="AT27" i="2"/>
  <c r="Z27" i="2"/>
  <c r="AS27" i="2"/>
  <c r="Y27" i="2"/>
  <c r="AR27" i="2"/>
  <c r="X27" i="2"/>
  <c r="AQ27" i="2"/>
  <c r="W27" i="2"/>
  <c r="AP27" i="2"/>
  <c r="V27" i="2"/>
  <c r="AO27" i="2"/>
  <c r="U27" i="2"/>
  <c r="AN27" i="2"/>
  <c r="T27" i="2"/>
  <c r="AM27" i="2"/>
  <c r="S27" i="2"/>
  <c r="AL27" i="2"/>
  <c r="R27" i="2"/>
  <c r="AK27" i="2"/>
  <c r="Q27" i="2"/>
  <c r="AJ27" i="2"/>
  <c r="P27" i="2"/>
  <c r="AI27" i="2"/>
  <c r="O27" i="2"/>
  <c r="AH27" i="2"/>
  <c r="N27" i="2"/>
  <c r="AG27" i="2"/>
  <c r="M27" i="2"/>
  <c r="AF27" i="2"/>
  <c r="AE26" i="2"/>
  <c r="AD26" i="2"/>
  <c r="AC26" i="2"/>
  <c r="AB26" i="2"/>
  <c r="AA26" i="2"/>
  <c r="AT26" i="2"/>
  <c r="Z26" i="2"/>
  <c r="AS26" i="2"/>
  <c r="AR26" i="2"/>
  <c r="X26" i="2"/>
  <c r="AQ26" i="2"/>
  <c r="W26" i="2"/>
  <c r="AP26" i="2"/>
  <c r="V26" i="2"/>
  <c r="AO26" i="2"/>
  <c r="U26" i="2"/>
  <c r="AN26" i="2"/>
  <c r="T26" i="2"/>
  <c r="AM26" i="2"/>
  <c r="S26" i="2"/>
  <c r="AL26" i="2"/>
  <c r="R26" i="2"/>
  <c r="AK26" i="2"/>
  <c r="Q26" i="2"/>
  <c r="AJ26" i="2"/>
  <c r="P26" i="2"/>
  <c r="AI26" i="2"/>
  <c r="O26" i="2"/>
  <c r="AH26" i="2"/>
  <c r="N26" i="2"/>
  <c r="AG26" i="2"/>
  <c r="M26" i="2"/>
  <c r="K26" i="2"/>
  <c r="AU26" i="2"/>
  <c r="Y26" i="2"/>
  <c r="AF26" i="2"/>
  <c r="E39" i="1" l="1"/>
  <c r="E26" i="1"/>
  <c r="E4" i="1"/>
  <c r="D13" i="3"/>
  <c r="D12" i="3"/>
  <c r="D248" i="2"/>
  <c r="D249" i="2"/>
  <c r="D240" i="2"/>
  <c r="D239" i="2"/>
  <c r="D10" i="3"/>
  <c r="D268" i="2"/>
  <c r="D41" i="8" s="1"/>
  <c r="D269" i="2"/>
  <c r="D42" i="8" s="1"/>
  <c r="G13" i="2" l="1"/>
  <c r="J5" i="2"/>
  <c r="K4" i="2" s="1"/>
  <c r="D210" i="2"/>
  <c r="D22" i="8" s="1"/>
  <c r="D209" i="2"/>
  <c r="D233" i="2" l="1"/>
  <c r="D21" i="8"/>
  <c r="K5" i="2"/>
  <c r="K6" i="2"/>
  <c r="F2" i="8" s="1"/>
  <c r="D206" i="2" l="1"/>
  <c r="D126" i="2"/>
  <c r="D125" i="2"/>
  <c r="D230" i="2" l="1"/>
  <c r="D18" i="8"/>
  <c r="E98" i="2"/>
  <c r="D85" i="2"/>
  <c r="D9" i="8" s="1"/>
  <c r="D59" i="2"/>
  <c r="D194" i="2" l="1"/>
  <c r="E19" i="1" l="1"/>
  <c r="D9" i="3"/>
  <c r="D8" i="3"/>
  <c r="E27" i="1" l="1"/>
  <c r="E28" i="1" l="1"/>
  <c r="D121" i="2" l="1"/>
  <c r="E114" i="2" l="1"/>
  <c r="E108" i="2"/>
  <c r="D82" i="2"/>
  <c r="E10" i="2"/>
  <c r="D112" i="2" l="1"/>
  <c r="D6" i="8"/>
  <c r="AP108" i="2"/>
  <c r="AN108" i="2"/>
  <c r="X108" i="2"/>
  <c r="V108" i="2"/>
  <c r="Q108" i="2"/>
  <c r="T108" i="2"/>
  <c r="Y108" i="2"/>
  <c r="AJ108" i="2"/>
  <c r="AS108" i="2"/>
  <c r="AT108" i="2"/>
  <c r="AU108" i="2"/>
  <c r="O114" i="2"/>
  <c r="P114" i="2"/>
  <c r="AO114" i="2"/>
  <c r="AK114" i="2"/>
  <c r="AU114" i="2"/>
  <c r="AT114" i="2"/>
  <c r="AH114" i="2"/>
  <c r="K114" i="2"/>
  <c r="U114" i="2"/>
  <c r="AI114" i="2"/>
  <c r="T114" i="2"/>
  <c r="AJ114" i="2"/>
  <c r="S114" i="2"/>
  <c r="R114" i="2"/>
  <c r="Q114" i="2"/>
  <c r="W108" i="2"/>
  <c r="S108" i="2"/>
  <c r="AA108" i="2"/>
  <c r="M114" i="2"/>
  <c r="AL114" i="2"/>
  <c r="AN114" i="2"/>
  <c r="N114" i="2"/>
  <c r="AM114" i="2"/>
  <c r="V114" i="2"/>
  <c r="AP114" i="2"/>
  <c r="W114" i="2"/>
  <c r="AQ114" i="2"/>
  <c r="AS114" i="2"/>
  <c r="X114" i="2"/>
  <c r="AR114" i="2"/>
  <c r="Y114" i="2"/>
  <c r="AE114" i="2"/>
  <c r="L114" i="2"/>
  <c r="AF114" i="2"/>
  <c r="AG114" i="2"/>
  <c r="AD114" i="2"/>
  <c r="AC114" i="2"/>
  <c r="AB114" i="2"/>
  <c r="AA114" i="2"/>
  <c r="Z114" i="2"/>
  <c r="AQ108" i="2"/>
  <c r="AE108" i="2"/>
  <c r="AD108" i="2"/>
  <c r="AC108" i="2"/>
  <c r="AB108" i="2"/>
  <c r="L108" i="2"/>
  <c r="AF108" i="2"/>
  <c r="AI108" i="2"/>
  <c r="M108" i="2"/>
  <c r="AG108" i="2"/>
  <c r="O108" i="2"/>
  <c r="N108" i="2"/>
  <c r="AH108" i="2"/>
  <c r="R108" i="2"/>
  <c r="AL108" i="2"/>
  <c r="U108" i="2"/>
  <c r="AO108" i="2"/>
  <c r="K108" i="2"/>
  <c r="AK108" i="2"/>
  <c r="AM108" i="2"/>
  <c r="P108" i="2"/>
  <c r="AR108" i="2"/>
  <c r="Z108" i="2"/>
  <c r="E11" i="2"/>
  <c r="L3" i="2"/>
  <c r="M3" i="2" l="1"/>
  <c r="E8" i="1"/>
  <c r="G9" i="2"/>
  <c r="G139" i="2" l="1"/>
  <c r="H139" i="2" s="1"/>
  <c r="K139" i="2" s="1"/>
  <c r="G134" i="2"/>
  <c r="G74" i="2"/>
  <c r="H74" i="2" s="1"/>
  <c r="K74" i="2" s="1"/>
  <c r="G153" i="2"/>
  <c r="K9" i="2"/>
  <c r="N3" i="2"/>
  <c r="H13" i="2"/>
  <c r="K13" i="2" s="1"/>
  <c r="K187" i="2" l="1"/>
  <c r="K284" i="2"/>
  <c r="K295" i="2" s="1"/>
  <c r="H134" i="2"/>
  <c r="K134" i="2" s="1"/>
  <c r="K172" i="2"/>
  <c r="K173" i="2"/>
  <c r="K60" i="2"/>
  <c r="K65" i="2" s="1"/>
  <c r="K131" i="2"/>
  <c r="K152" i="2" s="1"/>
  <c r="K142" i="2"/>
  <c r="K185" i="2" s="1"/>
  <c r="K20" i="2"/>
  <c r="K55" i="2" s="1"/>
  <c r="K61" i="2"/>
  <c r="O3" i="2"/>
  <c r="E28" i="2"/>
  <c r="K135" i="2" l="1"/>
  <c r="G155" i="2"/>
  <c r="K199" i="2"/>
  <c r="K214" i="2"/>
  <c r="F26" i="8" s="1"/>
  <c r="K194" i="2"/>
  <c r="K46" i="2"/>
  <c r="L28" i="2"/>
  <c r="AF28" i="2"/>
  <c r="M28" i="2"/>
  <c r="AG28" i="2"/>
  <c r="O28" i="2"/>
  <c r="AI28" i="2"/>
  <c r="AJ28" i="2"/>
  <c r="Q28" i="2"/>
  <c r="AL28" i="2"/>
  <c r="AM28" i="2"/>
  <c r="AN28" i="2"/>
  <c r="AO28" i="2"/>
  <c r="V28" i="2"/>
  <c r="W28" i="2"/>
  <c r="X28" i="2"/>
  <c r="Y28" i="2"/>
  <c r="Z28" i="2"/>
  <c r="AA28" i="2"/>
  <c r="AU28" i="2"/>
  <c r="AB28" i="2"/>
  <c r="AC28" i="2"/>
  <c r="AE28" i="2"/>
  <c r="N28" i="2"/>
  <c r="AH28" i="2"/>
  <c r="P28" i="2"/>
  <c r="AK28" i="2"/>
  <c r="R28" i="2"/>
  <c r="S28" i="2"/>
  <c r="T28" i="2"/>
  <c r="U28" i="2"/>
  <c r="AP28" i="2"/>
  <c r="AQ28" i="2"/>
  <c r="AR28" i="2"/>
  <c r="AS28" i="2"/>
  <c r="AT28" i="2"/>
  <c r="K28" i="2"/>
  <c r="AD28" i="2"/>
  <c r="P3" i="2"/>
  <c r="G15" i="2"/>
  <c r="Q3" i="2" l="1"/>
  <c r="H15" i="2"/>
  <c r="K15" i="2" s="1"/>
  <c r="G14" i="2"/>
  <c r="H14" i="2" l="1"/>
  <c r="K14" i="2" s="1"/>
  <c r="R3" i="2"/>
  <c r="S3" i="2" l="1"/>
  <c r="K113" i="2"/>
  <c r="K107" i="2"/>
  <c r="K22" i="2"/>
  <c r="K39" i="2" s="1"/>
  <c r="L4" i="2"/>
  <c r="K21" i="2" l="1"/>
  <c r="K53" i="2" s="1"/>
  <c r="K56" i="2" s="1"/>
  <c r="K82" i="2" s="1"/>
  <c r="K17" i="2"/>
  <c r="K130" i="2" s="1"/>
  <c r="L9" i="2"/>
  <c r="L20" i="2" s="1"/>
  <c r="K59" i="2"/>
  <c r="T3" i="2"/>
  <c r="L5" i="2"/>
  <c r="L134" i="2" s="1"/>
  <c r="L6" i="2"/>
  <c r="G2" i="8" s="1"/>
  <c r="K112" i="2" l="1"/>
  <c r="F6" i="8"/>
  <c r="L139" i="2"/>
  <c r="L284" i="2" s="1"/>
  <c r="L295" i="2" s="1"/>
  <c r="L135" i="2"/>
  <c r="L15" i="2"/>
  <c r="L13" i="2"/>
  <c r="L131" i="2" s="1"/>
  <c r="L152" i="2" s="1"/>
  <c r="L14" i="2"/>
  <c r="L21" i="2" s="1"/>
  <c r="L53" i="2" s="1"/>
  <c r="K31" i="2"/>
  <c r="K32" i="2" s="1"/>
  <c r="K29" i="2"/>
  <c r="L55" i="2"/>
  <c r="L32" i="2"/>
  <c r="L46" i="2"/>
  <c r="L61" i="2"/>
  <c r="L74" i="2"/>
  <c r="U3" i="2"/>
  <c r="L113" i="2"/>
  <c r="L107" i="2"/>
  <c r="M4" i="2"/>
  <c r="L172" i="2" l="1"/>
  <c r="L187" i="2"/>
  <c r="L173" i="2"/>
  <c r="L142" i="2"/>
  <c r="L185" i="2" s="1"/>
  <c r="L60" i="2"/>
  <c r="L65" i="2" s="1"/>
  <c r="L194" i="2" s="1"/>
  <c r="L199" i="2"/>
  <c r="L214" i="2"/>
  <c r="K34" i="2"/>
  <c r="K38" i="2" s="1"/>
  <c r="K40" i="2" s="1"/>
  <c r="L17" i="2"/>
  <c r="L130" i="2" s="1"/>
  <c r="L56" i="2"/>
  <c r="L82" i="2" s="1"/>
  <c r="M9" i="2"/>
  <c r="M20" i="2" s="1"/>
  <c r="L29" i="2"/>
  <c r="L34" i="2" s="1"/>
  <c r="L31" i="2"/>
  <c r="L22" i="2"/>
  <c r="L39" i="2" s="1"/>
  <c r="L59" i="2"/>
  <c r="K115" i="2"/>
  <c r="V3" i="2"/>
  <c r="M5" i="2"/>
  <c r="M134" i="2" s="1"/>
  <c r="M6" i="2"/>
  <c r="H2" i="8" s="1"/>
  <c r="L112" i="2" l="1"/>
  <c r="G6" i="8"/>
  <c r="L239" i="2"/>
  <c r="G26" i="8"/>
  <c r="M15" i="2"/>
  <c r="M135" i="2"/>
  <c r="M139" i="2"/>
  <c r="M13" i="2"/>
  <c r="M131" i="2" s="1"/>
  <c r="M152" i="2" s="1"/>
  <c r="M14" i="2"/>
  <c r="M21" i="2" s="1"/>
  <c r="M53" i="2" s="1"/>
  <c r="K43" i="2"/>
  <c r="K48" i="2" s="1"/>
  <c r="M55" i="2"/>
  <c r="M46" i="2"/>
  <c r="M61" i="2"/>
  <c r="M74" i="2"/>
  <c r="L38" i="2"/>
  <c r="L43" i="2" s="1"/>
  <c r="L48" i="2" s="1"/>
  <c r="L286" i="2" s="1"/>
  <c r="W3" i="2"/>
  <c r="M107" i="2"/>
  <c r="M113" i="2"/>
  <c r="M60" i="2"/>
  <c r="M65" i="2" s="1"/>
  <c r="M194" i="2" s="1"/>
  <c r="N4" i="2"/>
  <c r="M187" i="2" l="1"/>
  <c r="M284" i="2"/>
  <c r="M295" i="2" s="1"/>
  <c r="K50" i="2"/>
  <c r="K286" i="2"/>
  <c r="M199" i="2"/>
  <c r="M214" i="2"/>
  <c r="M142" i="2"/>
  <c r="M185" i="2" s="1"/>
  <c r="M173" i="2"/>
  <c r="M172" i="2"/>
  <c r="M17" i="2"/>
  <c r="M130" i="2" s="1"/>
  <c r="M56" i="2"/>
  <c r="M82" i="2" s="1"/>
  <c r="L40" i="2"/>
  <c r="L50" i="2" s="1"/>
  <c r="N9" i="2"/>
  <c r="N20" i="2" s="1"/>
  <c r="M29" i="2"/>
  <c r="M31" i="2"/>
  <c r="M32" i="2" s="1"/>
  <c r="M22" i="2"/>
  <c r="M39" i="2" s="1"/>
  <c r="M59" i="2"/>
  <c r="X3" i="2"/>
  <c r="N5" i="2"/>
  <c r="N134" i="2" s="1"/>
  <c r="N6" i="2"/>
  <c r="I2" i="8" s="1"/>
  <c r="M112" i="2" l="1"/>
  <c r="H6" i="8"/>
  <c r="M239" i="2"/>
  <c r="H26" i="8"/>
  <c r="L81" i="2"/>
  <c r="L287" i="2"/>
  <c r="K81" i="2"/>
  <c r="F5" i="8" s="1"/>
  <c r="K287" i="2"/>
  <c r="K288" i="2" s="1"/>
  <c r="N15" i="2"/>
  <c r="N135" i="2"/>
  <c r="N139" i="2"/>
  <c r="N13" i="2"/>
  <c r="N131" i="2" s="1"/>
  <c r="N152" i="2" s="1"/>
  <c r="N14" i="2"/>
  <c r="N21" i="2" s="1"/>
  <c r="N53" i="2" s="1"/>
  <c r="N61" i="2"/>
  <c r="N55" i="2"/>
  <c r="N46" i="2"/>
  <c r="N74" i="2"/>
  <c r="M34" i="2"/>
  <c r="M38" i="2" s="1"/>
  <c r="Y3" i="2"/>
  <c r="N107" i="2"/>
  <c r="N113" i="2"/>
  <c r="L115" i="2"/>
  <c r="O4" i="2"/>
  <c r="L83" i="2" l="1"/>
  <c r="G5" i="8"/>
  <c r="L106" i="2"/>
  <c r="L109" i="2" s="1"/>
  <c r="L268" i="2" s="1"/>
  <c r="G41" i="8" s="1"/>
  <c r="N187" i="2"/>
  <c r="N284" i="2"/>
  <c r="N295" i="2" s="1"/>
  <c r="L288" i="2"/>
  <c r="K83" i="2"/>
  <c r="K106" i="2"/>
  <c r="K109" i="2" s="1"/>
  <c r="N199" i="2"/>
  <c r="N214" i="2"/>
  <c r="N142" i="2"/>
  <c r="N185" i="2" s="1"/>
  <c r="N173" i="2"/>
  <c r="N172" i="2"/>
  <c r="N60" i="2"/>
  <c r="N65" i="2" s="1"/>
  <c r="N194" i="2" s="1"/>
  <c r="L117" i="2"/>
  <c r="N56" i="2"/>
  <c r="N82" i="2" s="1"/>
  <c r="N17" i="2"/>
  <c r="N130" i="2" s="1"/>
  <c r="O9" i="2"/>
  <c r="O20" i="2" s="1"/>
  <c r="M40" i="2"/>
  <c r="M43" i="2"/>
  <c r="M48" i="2" s="1"/>
  <c r="M286" i="2" s="1"/>
  <c r="N29" i="2"/>
  <c r="N31" i="2"/>
  <c r="N32" i="2" s="1"/>
  <c r="N22" i="2"/>
  <c r="N39" i="2" s="1"/>
  <c r="L84" i="2"/>
  <c r="G8" i="8" s="1"/>
  <c r="N59" i="2"/>
  <c r="Z3" i="2"/>
  <c r="L121" i="2"/>
  <c r="O5" i="2"/>
  <c r="O134" i="2" s="1"/>
  <c r="O6" i="2"/>
  <c r="J2" i="8" s="1"/>
  <c r="N112" i="2" l="1"/>
  <c r="I6" i="8"/>
  <c r="N239" i="2"/>
  <c r="I26" i="8"/>
  <c r="F7" i="8"/>
  <c r="L206" i="2"/>
  <c r="G7" i="8"/>
  <c r="K268" i="2"/>
  <c r="F41" i="8" s="1"/>
  <c r="K117" i="2"/>
  <c r="K118" i="2" s="1"/>
  <c r="K206" i="2"/>
  <c r="K84" i="2"/>
  <c r="F8" i="8" s="1"/>
  <c r="K121" i="2"/>
  <c r="O13" i="2"/>
  <c r="O131" i="2" s="1"/>
  <c r="O152" i="2" s="1"/>
  <c r="O199" i="2" s="1"/>
  <c r="O135" i="2"/>
  <c r="O14" i="2"/>
  <c r="O21" i="2" s="1"/>
  <c r="O53" i="2" s="1"/>
  <c r="O139" i="2"/>
  <c r="O15" i="2"/>
  <c r="O61" i="2"/>
  <c r="O55" i="2"/>
  <c r="O46" i="2"/>
  <c r="O74" i="2"/>
  <c r="M50" i="2"/>
  <c r="N34" i="2"/>
  <c r="N38" i="2" s="1"/>
  <c r="AA3" i="2"/>
  <c r="O107" i="2"/>
  <c r="O113" i="2"/>
  <c r="M115" i="2"/>
  <c r="P4" i="2"/>
  <c r="K230" i="2" l="1"/>
  <c r="F18" i="8"/>
  <c r="L230" i="2"/>
  <c r="G18" i="8"/>
  <c r="O187" i="2"/>
  <c r="O284" i="2"/>
  <c r="O295" i="2" s="1"/>
  <c r="K209" i="2"/>
  <c r="K125" i="2"/>
  <c r="L118" i="2"/>
  <c r="M81" i="2"/>
  <c r="H5" i="8" s="1"/>
  <c r="M287" i="2"/>
  <c r="M288" i="2" s="1"/>
  <c r="O214" i="2"/>
  <c r="O60" i="2"/>
  <c r="O65" i="2" s="1"/>
  <c r="O194" i="2" s="1"/>
  <c r="O173" i="2"/>
  <c r="O172" i="2"/>
  <c r="O142" i="2"/>
  <c r="O185" i="2" s="1"/>
  <c r="O17" i="2"/>
  <c r="O130" i="2" s="1"/>
  <c r="O56" i="2"/>
  <c r="O82" i="2" s="1"/>
  <c r="M83" i="2"/>
  <c r="M106" i="2"/>
  <c r="M109" i="2" s="1"/>
  <c r="M268" i="2" s="1"/>
  <c r="H41" i="8" s="1"/>
  <c r="P9" i="2"/>
  <c r="P20" i="2" s="1"/>
  <c r="N40" i="2"/>
  <c r="N43" i="2"/>
  <c r="N48" i="2" s="1"/>
  <c r="N286" i="2" s="1"/>
  <c r="O29" i="2"/>
  <c r="O31" i="2"/>
  <c r="O32" i="2" s="1"/>
  <c r="O22" i="2"/>
  <c r="O39" i="2" s="1"/>
  <c r="O59" i="2"/>
  <c r="AB3" i="2"/>
  <c r="P5" i="2"/>
  <c r="P134" i="2" s="1"/>
  <c r="P6" i="2"/>
  <c r="K2" i="8" s="1"/>
  <c r="M206" i="2" l="1"/>
  <c r="H7" i="8"/>
  <c r="O112" i="2"/>
  <c r="J6" i="8"/>
  <c r="O239" i="2"/>
  <c r="J26" i="8"/>
  <c r="K233" i="2"/>
  <c r="F21" i="8"/>
  <c r="L209" i="2"/>
  <c r="L125" i="2"/>
  <c r="P13" i="2"/>
  <c r="P131" i="2" s="1"/>
  <c r="P152" i="2" s="1"/>
  <c r="P199" i="2" s="1"/>
  <c r="P135" i="2"/>
  <c r="P14" i="2"/>
  <c r="P21" i="2" s="1"/>
  <c r="P53" i="2" s="1"/>
  <c r="P139" i="2"/>
  <c r="P15" i="2"/>
  <c r="P61" i="2"/>
  <c r="M121" i="2"/>
  <c r="M84" i="2"/>
  <c r="H8" i="8" s="1"/>
  <c r="P55" i="2"/>
  <c r="P46" i="2"/>
  <c r="M117" i="2"/>
  <c r="M118" i="2" s="1"/>
  <c r="M209" i="2" s="1"/>
  <c r="P74" i="2"/>
  <c r="N50" i="2"/>
  <c r="O34" i="2"/>
  <c r="O38" i="2" s="1"/>
  <c r="AC3" i="2"/>
  <c r="P107" i="2"/>
  <c r="P113" i="2"/>
  <c r="N115" i="2"/>
  <c r="Q4" i="2"/>
  <c r="L233" i="2" l="1"/>
  <c r="G21" i="8"/>
  <c r="M233" i="2"/>
  <c r="H21" i="8"/>
  <c r="M230" i="2"/>
  <c r="H18" i="8"/>
  <c r="P187" i="2"/>
  <c r="P284" i="2"/>
  <c r="P295" i="2" s="1"/>
  <c r="N81" i="2"/>
  <c r="N287" i="2"/>
  <c r="N288" i="2" s="1"/>
  <c r="P214" i="2"/>
  <c r="P60" i="2"/>
  <c r="P65" i="2" s="1"/>
  <c r="P194" i="2" s="1"/>
  <c r="P142" i="2"/>
  <c r="P185" i="2" s="1"/>
  <c r="P173" i="2"/>
  <c r="P172" i="2"/>
  <c r="P56" i="2"/>
  <c r="P82" i="2" s="1"/>
  <c r="P17" i="2"/>
  <c r="P130" i="2" s="1"/>
  <c r="M125" i="2"/>
  <c r="Q9" i="2"/>
  <c r="Q20" i="2" s="1"/>
  <c r="O40" i="2"/>
  <c r="O43" i="2"/>
  <c r="O48" i="2" s="1"/>
  <c r="O286" i="2" s="1"/>
  <c r="P29" i="2"/>
  <c r="P31" i="2"/>
  <c r="P32" i="2" s="1"/>
  <c r="P22" i="2"/>
  <c r="P39" i="2" s="1"/>
  <c r="P59" i="2"/>
  <c r="AD3" i="2"/>
  <c r="Q5" i="2"/>
  <c r="Q134" i="2" s="1"/>
  <c r="Q6" i="2"/>
  <c r="L2" i="8" s="1"/>
  <c r="P112" i="2" l="1"/>
  <c r="K6" i="8"/>
  <c r="P239" i="2"/>
  <c r="K26" i="8"/>
  <c r="N83" i="2"/>
  <c r="I5" i="8"/>
  <c r="N106" i="2"/>
  <c r="N109" i="2" s="1"/>
  <c r="N268" i="2" s="1"/>
  <c r="I41" i="8" s="1"/>
  <c r="Q13" i="2"/>
  <c r="Q131" i="2" s="1"/>
  <c r="Q152" i="2" s="1"/>
  <c r="Q199" i="2" s="1"/>
  <c r="Q135" i="2"/>
  <c r="Q139" i="2"/>
  <c r="Q14" i="2"/>
  <c r="Q21" i="2" s="1"/>
  <c r="Q53" i="2" s="1"/>
  <c r="Q15" i="2"/>
  <c r="Q55" i="2"/>
  <c r="Q46" i="2"/>
  <c r="Q61" i="2"/>
  <c r="N121" i="2"/>
  <c r="N84" i="2"/>
  <c r="I8" i="8" s="1"/>
  <c r="N117" i="2"/>
  <c r="N118" i="2" s="1"/>
  <c r="N209" i="2" s="1"/>
  <c r="Q74" i="2"/>
  <c r="O50" i="2"/>
  <c r="P34" i="2"/>
  <c r="P38" i="2" s="1"/>
  <c r="AE3" i="2"/>
  <c r="Q107" i="2"/>
  <c r="Q113" i="2"/>
  <c r="O115" i="2"/>
  <c r="R4" i="2"/>
  <c r="N233" i="2" l="1"/>
  <c r="I21" i="8"/>
  <c r="N206" i="2"/>
  <c r="I7" i="8"/>
  <c r="Q187" i="2"/>
  <c r="Q284" i="2"/>
  <c r="Q295" i="2" s="1"/>
  <c r="O81" i="2"/>
  <c r="J5" i="8" s="1"/>
  <c r="O287" i="2"/>
  <c r="O288" i="2" s="1"/>
  <c r="Q60" i="2"/>
  <c r="Q65" i="2" s="1"/>
  <c r="Q194" i="2" s="1"/>
  <c r="Q214" i="2"/>
  <c r="Q142" i="2"/>
  <c r="Q185" i="2" s="1"/>
  <c r="Q172" i="2"/>
  <c r="Q173" i="2"/>
  <c r="Q17" i="2"/>
  <c r="Q130" i="2" s="1"/>
  <c r="Q56" i="2"/>
  <c r="Q82" i="2" s="1"/>
  <c r="O83" i="2"/>
  <c r="O106" i="2"/>
  <c r="O109" i="2" s="1"/>
  <c r="O268" i="2" s="1"/>
  <c r="J41" i="8" s="1"/>
  <c r="N125" i="2"/>
  <c r="R9" i="2"/>
  <c r="R20" i="2" s="1"/>
  <c r="P40" i="2"/>
  <c r="P43" i="2"/>
  <c r="P48" i="2" s="1"/>
  <c r="P286" i="2" s="1"/>
  <c r="Q29" i="2"/>
  <c r="Q31" i="2"/>
  <c r="Q32" i="2" s="1"/>
  <c r="Q22" i="2"/>
  <c r="Q39" i="2" s="1"/>
  <c r="Q59" i="2"/>
  <c r="AF3" i="2"/>
  <c r="R5" i="2"/>
  <c r="R134" i="2" s="1"/>
  <c r="R6" i="2"/>
  <c r="M2" i="8" s="1"/>
  <c r="O206" i="2" l="1"/>
  <c r="J7" i="8"/>
  <c r="Q112" i="2"/>
  <c r="L6" i="8"/>
  <c r="Q239" i="2"/>
  <c r="L26" i="8"/>
  <c r="N230" i="2"/>
  <c r="I18" i="8"/>
  <c r="R14" i="2"/>
  <c r="R21" i="2" s="1"/>
  <c r="R53" i="2" s="1"/>
  <c r="R135" i="2"/>
  <c r="R13" i="2"/>
  <c r="R131" i="2" s="1"/>
  <c r="R152" i="2" s="1"/>
  <c r="R139" i="2"/>
  <c r="R15" i="2"/>
  <c r="R61" i="2"/>
  <c r="R55" i="2"/>
  <c r="R46" i="2"/>
  <c r="O84" i="2"/>
  <c r="J8" i="8" s="1"/>
  <c r="O121" i="2"/>
  <c r="O117" i="2"/>
  <c r="O118" i="2" s="1"/>
  <c r="O209" i="2" s="1"/>
  <c r="R74" i="2"/>
  <c r="P50" i="2"/>
  <c r="Q34" i="2"/>
  <c r="Q38" i="2" s="1"/>
  <c r="AG3" i="2"/>
  <c r="R107" i="2"/>
  <c r="R113" i="2"/>
  <c r="P115" i="2"/>
  <c r="S4" i="2"/>
  <c r="O233" i="2" l="1"/>
  <c r="J21" i="8"/>
  <c r="O230" i="2"/>
  <c r="J18" i="8"/>
  <c r="R187" i="2"/>
  <c r="R284" i="2"/>
  <c r="R295" i="2" s="1"/>
  <c r="P81" i="2"/>
  <c r="P287" i="2"/>
  <c r="P288" i="2" s="1"/>
  <c r="R199" i="2"/>
  <c r="R214" i="2"/>
  <c r="R142" i="2"/>
  <c r="R185" i="2" s="1"/>
  <c r="R172" i="2"/>
  <c r="R173" i="2"/>
  <c r="R60" i="2"/>
  <c r="R65" i="2" s="1"/>
  <c r="R194" i="2" s="1"/>
  <c r="R17" i="2"/>
  <c r="R130" i="2" s="1"/>
  <c r="R56" i="2"/>
  <c r="R82" i="2" s="1"/>
  <c r="O125" i="2"/>
  <c r="S9" i="2"/>
  <c r="S20" i="2" s="1"/>
  <c r="Q40" i="2"/>
  <c r="R29" i="2"/>
  <c r="R31" i="2"/>
  <c r="R32" i="2" s="1"/>
  <c r="R22" i="2"/>
  <c r="R39" i="2" s="1"/>
  <c r="R59" i="2"/>
  <c r="AH3" i="2"/>
  <c r="S5" i="2"/>
  <c r="S134" i="2" s="1"/>
  <c r="S6" i="2"/>
  <c r="N2" i="8" s="1"/>
  <c r="R112" i="2" l="1"/>
  <c r="M6" i="8"/>
  <c r="R239" i="2"/>
  <c r="M26" i="8"/>
  <c r="P83" i="2"/>
  <c r="K5" i="8"/>
  <c r="P106" i="2"/>
  <c r="P109" i="2" s="1"/>
  <c r="P268" i="2" s="1"/>
  <c r="K41" i="8" s="1"/>
  <c r="S139" i="2"/>
  <c r="S135" i="2"/>
  <c r="S15" i="2"/>
  <c r="S13" i="2"/>
  <c r="S131" i="2" s="1"/>
  <c r="S152" i="2" s="1"/>
  <c r="S14" i="2"/>
  <c r="S21" i="2" s="1"/>
  <c r="S53" i="2" s="1"/>
  <c r="P121" i="2"/>
  <c r="P84" i="2"/>
  <c r="K8" i="8" s="1"/>
  <c r="S61" i="2"/>
  <c r="S55" i="2"/>
  <c r="S46" i="2"/>
  <c r="P117" i="2"/>
  <c r="P118" i="2" s="1"/>
  <c r="P209" i="2" s="1"/>
  <c r="S74" i="2"/>
  <c r="Q43" i="2"/>
  <c r="Q48" i="2" s="1"/>
  <c r="R34" i="2"/>
  <c r="R38" i="2" s="1"/>
  <c r="AI3" i="2"/>
  <c r="S107" i="2"/>
  <c r="S113" i="2"/>
  <c r="Q115" i="2"/>
  <c r="T4" i="2"/>
  <c r="P233" i="2" l="1"/>
  <c r="K21" i="8"/>
  <c r="P206" i="2"/>
  <c r="K7" i="8"/>
  <c r="S172" i="2"/>
  <c r="S284" i="2"/>
  <c r="S295" i="2" s="1"/>
  <c r="Q50" i="2"/>
  <c r="Q286" i="2"/>
  <c r="S142" i="2"/>
  <c r="S185" i="2" s="1"/>
  <c r="S187" i="2"/>
  <c r="S173" i="2"/>
  <c r="S199" i="2"/>
  <c r="S214" i="2"/>
  <c r="S60" i="2"/>
  <c r="S65" i="2" s="1"/>
  <c r="S194" i="2" s="1"/>
  <c r="S17" i="2"/>
  <c r="S130" i="2" s="1"/>
  <c r="S56" i="2"/>
  <c r="S82" i="2" s="1"/>
  <c r="P125" i="2"/>
  <c r="T9" i="2"/>
  <c r="T20" i="2" s="1"/>
  <c r="R40" i="2"/>
  <c r="R43" i="2"/>
  <c r="R48" i="2" s="1"/>
  <c r="R286" i="2" s="1"/>
  <c r="S29" i="2"/>
  <c r="S31" i="2"/>
  <c r="S32" i="2" s="1"/>
  <c r="S22" i="2"/>
  <c r="S39" i="2" s="1"/>
  <c r="S59" i="2"/>
  <c r="AJ3" i="2"/>
  <c r="T5" i="2"/>
  <c r="T134" i="2" s="1"/>
  <c r="T6" i="2"/>
  <c r="O2" i="8" s="1"/>
  <c r="S112" i="2" l="1"/>
  <c r="N6" i="8"/>
  <c r="S239" i="2"/>
  <c r="N26" i="8"/>
  <c r="P230" i="2"/>
  <c r="K18" i="8"/>
  <c r="Q81" i="2"/>
  <c r="L5" i="8" s="1"/>
  <c r="Q287" i="2"/>
  <c r="T13" i="2"/>
  <c r="T131" i="2" s="1"/>
  <c r="T152" i="2" s="1"/>
  <c r="T214" i="2" s="1"/>
  <c r="T135" i="2"/>
  <c r="T14" i="2"/>
  <c r="T21" i="2" s="1"/>
  <c r="T53" i="2" s="1"/>
  <c r="T15" i="2"/>
  <c r="T139" i="2"/>
  <c r="T61" i="2"/>
  <c r="T55" i="2"/>
  <c r="T46" i="2"/>
  <c r="T74" i="2"/>
  <c r="R50" i="2"/>
  <c r="S34" i="2"/>
  <c r="S38" i="2" s="1"/>
  <c r="AK3" i="2"/>
  <c r="T107" i="2"/>
  <c r="T113" i="2"/>
  <c r="R115" i="2"/>
  <c r="U4" i="2"/>
  <c r="T239" i="2" l="1"/>
  <c r="O26" i="8"/>
  <c r="T187" i="2"/>
  <c r="T284" i="2"/>
  <c r="T295" i="2" s="1"/>
  <c r="Q288" i="2"/>
  <c r="R81" i="2"/>
  <c r="M5" i="8" s="1"/>
  <c r="R287" i="2"/>
  <c r="Q83" i="2"/>
  <c r="L7" i="8" s="1"/>
  <c r="Q106" i="2"/>
  <c r="Q109" i="2" s="1"/>
  <c r="T60" i="2"/>
  <c r="T65" i="2" s="1"/>
  <c r="T194" i="2" s="1"/>
  <c r="T199" i="2"/>
  <c r="T142" i="2"/>
  <c r="T185" i="2" s="1"/>
  <c r="T172" i="2"/>
  <c r="T173" i="2"/>
  <c r="T17" i="2"/>
  <c r="T130" i="2" s="1"/>
  <c r="T56" i="2"/>
  <c r="T82" i="2" s="1"/>
  <c r="R83" i="2"/>
  <c r="R106" i="2"/>
  <c r="R109" i="2" s="1"/>
  <c r="R268" i="2" s="1"/>
  <c r="M41" i="8" s="1"/>
  <c r="U9" i="2"/>
  <c r="U20" i="2" s="1"/>
  <c r="S40" i="2"/>
  <c r="S43" i="2"/>
  <c r="S48" i="2" s="1"/>
  <c r="S286" i="2" s="1"/>
  <c r="T29" i="2"/>
  <c r="T31" i="2"/>
  <c r="T32" i="2" s="1"/>
  <c r="T22" i="2"/>
  <c r="T39" i="2" s="1"/>
  <c r="T59" i="2"/>
  <c r="AL3" i="2"/>
  <c r="U5" i="2"/>
  <c r="U134" i="2" s="1"/>
  <c r="U6" i="2"/>
  <c r="P2" i="8" s="1"/>
  <c r="R206" i="2" l="1"/>
  <c r="M7" i="8"/>
  <c r="T112" i="2"/>
  <c r="O6" i="8"/>
  <c r="R288" i="2"/>
  <c r="Q268" i="2"/>
  <c r="L41" i="8" s="1"/>
  <c r="Q117" i="2"/>
  <c r="Q118" i="2" s="1"/>
  <c r="Q206" i="2"/>
  <c r="Q84" i="2"/>
  <c r="L8" i="8" s="1"/>
  <c r="Q121" i="2"/>
  <c r="R84" i="2"/>
  <c r="M8" i="8" s="1"/>
  <c r="U13" i="2"/>
  <c r="U131" i="2" s="1"/>
  <c r="U152" i="2" s="1"/>
  <c r="U199" i="2" s="1"/>
  <c r="U135" i="2"/>
  <c r="U14" i="2"/>
  <c r="U21" i="2" s="1"/>
  <c r="U53" i="2" s="1"/>
  <c r="U139" i="2"/>
  <c r="U15" i="2"/>
  <c r="R121" i="2"/>
  <c r="R117" i="2"/>
  <c r="R118" i="2" s="1"/>
  <c r="R209" i="2" s="1"/>
  <c r="U61" i="2"/>
  <c r="U55" i="2"/>
  <c r="U46" i="2"/>
  <c r="U74" i="2"/>
  <c r="S50" i="2"/>
  <c r="T34" i="2"/>
  <c r="T38" i="2" s="1"/>
  <c r="AM3" i="2"/>
  <c r="U107" i="2"/>
  <c r="U113" i="2"/>
  <c r="S115" i="2"/>
  <c r="V4" i="2"/>
  <c r="R233" i="2" l="1"/>
  <c r="M21" i="8"/>
  <c r="Q230" i="2"/>
  <c r="L18" i="8"/>
  <c r="R230" i="2"/>
  <c r="M18" i="8"/>
  <c r="U187" i="2"/>
  <c r="U284" i="2"/>
  <c r="U295" i="2" s="1"/>
  <c r="S81" i="2"/>
  <c r="N5" i="8" s="1"/>
  <c r="S287" i="2"/>
  <c r="Q209" i="2"/>
  <c r="Q125" i="2"/>
  <c r="U214" i="2"/>
  <c r="U60" i="2"/>
  <c r="U65" i="2" s="1"/>
  <c r="U194" i="2" s="1"/>
  <c r="U142" i="2"/>
  <c r="U185" i="2" s="1"/>
  <c r="U173" i="2"/>
  <c r="U172" i="2"/>
  <c r="R125" i="2"/>
  <c r="U17" i="2"/>
  <c r="U130" i="2" s="1"/>
  <c r="U56" i="2"/>
  <c r="U82" i="2" s="1"/>
  <c r="V9" i="2"/>
  <c r="V20" i="2" s="1"/>
  <c r="T40" i="2"/>
  <c r="T43" i="2"/>
  <c r="T48" i="2" s="1"/>
  <c r="T286" i="2" s="1"/>
  <c r="U29" i="2"/>
  <c r="U31" i="2"/>
  <c r="U32" i="2" s="1"/>
  <c r="U22" i="2"/>
  <c r="U39" i="2" s="1"/>
  <c r="U59" i="2"/>
  <c r="AN3" i="2"/>
  <c r="V5" i="2"/>
  <c r="V134" i="2" s="1"/>
  <c r="V6" i="2"/>
  <c r="Q2" i="8" s="1"/>
  <c r="U112" i="2" l="1"/>
  <c r="P6" i="8"/>
  <c r="U239" i="2"/>
  <c r="P26" i="8"/>
  <c r="Q233" i="2"/>
  <c r="L21" i="8"/>
  <c r="S106" i="2"/>
  <c r="S109" i="2" s="1"/>
  <c r="S268" i="2" s="1"/>
  <c r="N41" i="8" s="1"/>
  <c r="S83" i="2"/>
  <c r="S288" i="2"/>
  <c r="V15" i="2"/>
  <c r="V135" i="2"/>
  <c r="V14" i="2"/>
  <c r="V21" i="2" s="1"/>
  <c r="V53" i="2" s="1"/>
  <c r="V13" i="2"/>
  <c r="V139" i="2"/>
  <c r="V61" i="2"/>
  <c r="S121" i="2"/>
  <c r="S84" i="2"/>
  <c r="N8" i="8" s="1"/>
  <c r="V55" i="2"/>
  <c r="V46" i="2"/>
  <c r="S117" i="2"/>
  <c r="S118" i="2" s="1"/>
  <c r="S209" i="2" s="1"/>
  <c r="V74" i="2"/>
  <c r="T50" i="2"/>
  <c r="U34" i="2"/>
  <c r="U38" i="2" s="1"/>
  <c r="AO3" i="2"/>
  <c r="V107" i="2"/>
  <c r="V113" i="2"/>
  <c r="T115" i="2"/>
  <c r="W4" i="2"/>
  <c r="S233" i="2" l="1"/>
  <c r="N21" i="8"/>
  <c r="S206" i="2"/>
  <c r="N7" i="8"/>
  <c r="V187" i="2"/>
  <c r="V284" i="2"/>
  <c r="V295" i="2" s="1"/>
  <c r="T81" i="2"/>
  <c r="O5" i="8" s="1"/>
  <c r="T287" i="2"/>
  <c r="V142" i="2"/>
  <c r="V185" i="2" s="1"/>
  <c r="V172" i="2"/>
  <c r="V173" i="2"/>
  <c r="V60" i="2"/>
  <c r="V65" i="2" s="1"/>
  <c r="V194" i="2" s="1"/>
  <c r="V131" i="2"/>
  <c r="V152" i="2" s="1"/>
  <c r="V56" i="2"/>
  <c r="V82" i="2" s="1"/>
  <c r="V17" i="2"/>
  <c r="V130" i="2" s="1"/>
  <c r="T83" i="2"/>
  <c r="T106" i="2"/>
  <c r="T109" i="2" s="1"/>
  <c r="T268" i="2" s="1"/>
  <c r="O41" i="8" s="1"/>
  <c r="S125" i="2"/>
  <c r="W9" i="2"/>
  <c r="W20" i="2" s="1"/>
  <c r="U40" i="2"/>
  <c r="U43" i="2"/>
  <c r="U48" i="2" s="1"/>
  <c r="U286" i="2" s="1"/>
  <c r="V29" i="2"/>
  <c r="V31" i="2"/>
  <c r="V32" i="2" s="1"/>
  <c r="V22" i="2"/>
  <c r="V39" i="2" s="1"/>
  <c r="V59" i="2"/>
  <c r="AP3" i="2"/>
  <c r="W5" i="2"/>
  <c r="W134" i="2" s="1"/>
  <c r="W6" i="2"/>
  <c r="R2" i="8" s="1"/>
  <c r="T206" i="2" l="1"/>
  <c r="O7" i="8"/>
  <c r="V112" i="2"/>
  <c r="Q6" i="8"/>
  <c r="S230" i="2"/>
  <c r="N18" i="8"/>
  <c r="T288" i="2"/>
  <c r="W14" i="2"/>
  <c r="W21" i="2" s="1"/>
  <c r="W53" i="2" s="1"/>
  <c r="W135" i="2"/>
  <c r="V199" i="2"/>
  <c r="V214" i="2"/>
  <c r="W15" i="2"/>
  <c r="W13" i="2"/>
  <c r="W139" i="2"/>
  <c r="W61" i="2"/>
  <c r="W55" i="2"/>
  <c r="W46" i="2"/>
  <c r="T84" i="2"/>
  <c r="O8" i="8" s="1"/>
  <c r="T121" i="2"/>
  <c r="T117" i="2"/>
  <c r="T118" i="2" s="1"/>
  <c r="T209" i="2" s="1"/>
  <c r="W74" i="2"/>
  <c r="U50" i="2"/>
  <c r="V34" i="2"/>
  <c r="V38" i="2" s="1"/>
  <c r="AQ3" i="2"/>
  <c r="W113" i="2"/>
  <c r="W107" i="2"/>
  <c r="U115" i="2"/>
  <c r="X4" i="2"/>
  <c r="T233" i="2" l="1"/>
  <c r="O21" i="8"/>
  <c r="V239" i="2"/>
  <c r="Q26" i="8"/>
  <c r="T230" i="2"/>
  <c r="O18" i="8"/>
  <c r="W187" i="2"/>
  <c r="W284" i="2"/>
  <c r="W295" i="2" s="1"/>
  <c r="U81" i="2"/>
  <c r="P5" i="8" s="1"/>
  <c r="U287" i="2"/>
  <c r="W142" i="2"/>
  <c r="W185" i="2" s="1"/>
  <c r="W172" i="2"/>
  <c r="W173" i="2"/>
  <c r="W60" i="2"/>
  <c r="W65" i="2" s="1"/>
  <c r="W194" i="2" s="1"/>
  <c r="W131" i="2"/>
  <c r="W152" i="2" s="1"/>
  <c r="W17" i="2"/>
  <c r="W130" i="2" s="1"/>
  <c r="W56" i="2"/>
  <c r="W82" i="2" s="1"/>
  <c r="U83" i="2"/>
  <c r="U106" i="2"/>
  <c r="U109" i="2" s="1"/>
  <c r="U268" i="2" s="1"/>
  <c r="P41" i="8" s="1"/>
  <c r="T125" i="2"/>
  <c r="X9" i="2"/>
  <c r="X20" i="2" s="1"/>
  <c r="V40" i="2"/>
  <c r="V43" i="2"/>
  <c r="V48" i="2" s="1"/>
  <c r="V286" i="2" s="1"/>
  <c r="W29" i="2"/>
  <c r="W31" i="2"/>
  <c r="W32" i="2" s="1"/>
  <c r="W22" i="2"/>
  <c r="W39" i="2" s="1"/>
  <c r="W59" i="2"/>
  <c r="AR3" i="2"/>
  <c r="X5" i="2"/>
  <c r="X134" i="2" s="1"/>
  <c r="X6" i="2"/>
  <c r="S2" i="8" s="1"/>
  <c r="U206" i="2" l="1"/>
  <c r="P7" i="8"/>
  <c r="W112" i="2"/>
  <c r="R6" i="8"/>
  <c r="U288" i="2"/>
  <c r="X13" i="2"/>
  <c r="X131" i="2" s="1"/>
  <c r="X152" i="2" s="1"/>
  <c r="X199" i="2" s="1"/>
  <c r="X135" i="2"/>
  <c r="W199" i="2"/>
  <c r="W214" i="2"/>
  <c r="X14" i="2"/>
  <c r="X21" i="2" s="1"/>
  <c r="X53" i="2" s="1"/>
  <c r="X15" i="2"/>
  <c r="X139" i="2"/>
  <c r="X61" i="2"/>
  <c r="X55" i="2"/>
  <c r="X46" i="2"/>
  <c r="U84" i="2"/>
  <c r="P8" i="8" s="1"/>
  <c r="U121" i="2"/>
  <c r="U117" i="2"/>
  <c r="U118" i="2" s="1"/>
  <c r="U209" i="2" s="1"/>
  <c r="X74" i="2"/>
  <c r="V50" i="2"/>
  <c r="W34" i="2"/>
  <c r="W38" i="2" s="1"/>
  <c r="AS3" i="2"/>
  <c r="X113" i="2"/>
  <c r="X107" i="2"/>
  <c r="V115" i="2"/>
  <c r="Y4" i="2"/>
  <c r="U233" i="2" l="1"/>
  <c r="P21" i="8"/>
  <c r="W239" i="2"/>
  <c r="R26" i="8"/>
  <c r="U230" i="2"/>
  <c r="P18" i="8"/>
  <c r="X187" i="2"/>
  <c r="X284" i="2"/>
  <c r="X295" i="2" s="1"/>
  <c r="V81" i="2"/>
  <c r="Q5" i="8" s="1"/>
  <c r="V287" i="2"/>
  <c r="X60" i="2"/>
  <c r="X65" i="2" s="1"/>
  <c r="X194" i="2" s="1"/>
  <c r="X214" i="2"/>
  <c r="X142" i="2"/>
  <c r="X185" i="2" s="1"/>
  <c r="X172" i="2"/>
  <c r="X173" i="2"/>
  <c r="X17" i="2"/>
  <c r="X130" i="2" s="1"/>
  <c r="X56" i="2"/>
  <c r="X82" i="2" s="1"/>
  <c r="V83" i="2"/>
  <c r="V106" i="2"/>
  <c r="V109" i="2" s="1"/>
  <c r="V268" i="2" s="1"/>
  <c r="Q41" i="8" s="1"/>
  <c r="U125" i="2"/>
  <c r="Y9" i="2"/>
  <c r="Y20" i="2" s="1"/>
  <c r="W40" i="2"/>
  <c r="W43" i="2"/>
  <c r="W48" i="2" s="1"/>
  <c r="W286" i="2" s="1"/>
  <c r="X29" i="2"/>
  <c r="X31" i="2"/>
  <c r="X32" i="2" s="1"/>
  <c r="X22" i="2"/>
  <c r="X39" i="2" s="1"/>
  <c r="X59" i="2"/>
  <c r="AT3" i="2"/>
  <c r="Y5" i="2"/>
  <c r="Y134" i="2" s="1"/>
  <c r="Y6" i="2"/>
  <c r="T2" i="8" s="1"/>
  <c r="V206" i="2" l="1"/>
  <c r="Q7" i="8"/>
  <c r="X112" i="2"/>
  <c r="S6" i="8"/>
  <c r="X239" i="2"/>
  <c r="S26" i="8"/>
  <c r="V288" i="2"/>
  <c r="Y13" i="2"/>
  <c r="Y131" i="2" s="1"/>
  <c r="Y152" i="2" s="1"/>
  <c r="Y199" i="2" s="1"/>
  <c r="Y135" i="2"/>
  <c r="Y139" i="2"/>
  <c r="Y14" i="2"/>
  <c r="Y21" i="2" s="1"/>
  <c r="Y53" i="2" s="1"/>
  <c r="Y15" i="2"/>
  <c r="V121" i="2"/>
  <c r="V84" i="2"/>
  <c r="Q8" i="8" s="1"/>
  <c r="Y61" i="2"/>
  <c r="V117" i="2"/>
  <c r="V118" i="2" s="1"/>
  <c r="V209" i="2" s="1"/>
  <c r="Y55" i="2"/>
  <c r="Y46" i="2"/>
  <c r="Y74" i="2"/>
  <c r="W50" i="2"/>
  <c r="X34" i="2"/>
  <c r="X38" i="2" s="1"/>
  <c r="AU3" i="2"/>
  <c r="Y113" i="2"/>
  <c r="Y107" i="2"/>
  <c r="W115" i="2"/>
  <c r="Z4" i="2"/>
  <c r="V233" i="2" l="1"/>
  <c r="Q21" i="8"/>
  <c r="V230" i="2"/>
  <c r="Q18" i="8"/>
  <c r="Y187" i="2"/>
  <c r="Y284" i="2"/>
  <c r="Y295" i="2" s="1"/>
  <c r="W81" i="2"/>
  <c r="W287" i="2"/>
  <c r="Y60" i="2"/>
  <c r="Y65" i="2" s="1"/>
  <c r="Y194" i="2" s="1"/>
  <c r="Y214" i="2"/>
  <c r="Y142" i="2"/>
  <c r="Y185" i="2" s="1"/>
  <c r="Y173" i="2"/>
  <c r="Y172" i="2"/>
  <c r="Y56" i="2"/>
  <c r="Y82" i="2" s="1"/>
  <c r="Y17" i="2"/>
  <c r="Y130" i="2" s="1"/>
  <c r="V125" i="2"/>
  <c r="Z9" i="2"/>
  <c r="Z61" i="2" s="1"/>
  <c r="X40" i="2"/>
  <c r="X43" i="2"/>
  <c r="X48" i="2" s="1"/>
  <c r="X286" i="2" s="1"/>
  <c r="Y29" i="2"/>
  <c r="Y31" i="2"/>
  <c r="Y32" i="2" s="1"/>
  <c r="Y22" i="2"/>
  <c r="Y39" i="2" s="1"/>
  <c r="Y59" i="2"/>
  <c r="Z5" i="2"/>
  <c r="Z134" i="2" s="1"/>
  <c r="Z6" i="2"/>
  <c r="U2" i="8" s="1"/>
  <c r="Y112" i="2" l="1"/>
  <c r="T6" i="8"/>
  <c r="Y239" i="2"/>
  <c r="T26" i="8"/>
  <c r="W83" i="2"/>
  <c r="R5" i="8"/>
  <c r="W288" i="2"/>
  <c r="W106" i="2"/>
  <c r="W109" i="2" s="1"/>
  <c r="W268" i="2" s="1"/>
  <c r="R41" i="8" s="1"/>
  <c r="Z13" i="2"/>
  <c r="Z131" i="2" s="1"/>
  <c r="Z152" i="2" s="1"/>
  <c r="Z199" i="2" s="1"/>
  <c r="Z135" i="2"/>
  <c r="Z139" i="2"/>
  <c r="Z15" i="2"/>
  <c r="Z14" i="2"/>
  <c r="Z21" i="2" s="1"/>
  <c r="Z53" i="2" s="1"/>
  <c r="W117" i="2"/>
  <c r="W118" i="2" s="1"/>
  <c r="W209" i="2" s="1"/>
  <c r="Z20" i="2"/>
  <c r="W84" i="2"/>
  <c r="R8" i="8" s="1"/>
  <c r="W121" i="2"/>
  <c r="Z74" i="2"/>
  <c r="X50" i="2"/>
  <c r="Y34" i="2"/>
  <c r="Y38" i="2" s="1"/>
  <c r="Z107" i="2"/>
  <c r="Z113" i="2"/>
  <c r="X115" i="2"/>
  <c r="AA4" i="2"/>
  <c r="W233" i="2" l="1"/>
  <c r="R21" i="8"/>
  <c r="W206" i="2"/>
  <c r="R7" i="8"/>
  <c r="Z187" i="2"/>
  <c r="Z284" i="2"/>
  <c r="Z295" i="2" s="1"/>
  <c r="X81" i="2"/>
  <c r="S5" i="8" s="1"/>
  <c r="X287" i="2"/>
  <c r="Z60" i="2"/>
  <c r="Z65" i="2" s="1"/>
  <c r="Z194" i="2" s="1"/>
  <c r="Z214" i="2"/>
  <c r="Z142" i="2"/>
  <c r="Z185" i="2" s="1"/>
  <c r="Z173" i="2"/>
  <c r="Z172" i="2"/>
  <c r="Z17" i="2"/>
  <c r="Z130" i="2" s="1"/>
  <c r="W125" i="2"/>
  <c r="Z55" i="2"/>
  <c r="Z56" i="2" s="1"/>
  <c r="Z82" i="2" s="1"/>
  <c r="Z46" i="2"/>
  <c r="X83" i="2"/>
  <c r="X106" i="2"/>
  <c r="X109" i="2" s="1"/>
  <c r="X268" i="2" s="1"/>
  <c r="S41" i="8" s="1"/>
  <c r="AA9" i="2"/>
  <c r="AA61" i="2" s="1"/>
  <c r="Y40" i="2"/>
  <c r="Z29" i="2"/>
  <c r="Z31" i="2"/>
  <c r="Z32" i="2" s="1"/>
  <c r="Z22" i="2"/>
  <c r="Z39" i="2" s="1"/>
  <c r="Z59" i="2"/>
  <c r="AA5" i="2"/>
  <c r="AA134" i="2" s="1"/>
  <c r="AA6" i="2"/>
  <c r="V2" i="8" s="1"/>
  <c r="X206" i="2" l="1"/>
  <c r="S7" i="8"/>
  <c r="Z112" i="2"/>
  <c r="U6" i="8"/>
  <c r="Z239" i="2"/>
  <c r="U26" i="8"/>
  <c r="W230" i="2"/>
  <c r="R18" i="8"/>
  <c r="X288" i="2"/>
  <c r="X84" i="2"/>
  <c r="S8" i="8" s="1"/>
  <c r="AA139" i="2"/>
  <c r="AA284" i="2" s="1"/>
  <c r="AA295" i="2" s="1"/>
  <c r="AA135" i="2"/>
  <c r="AA14" i="2"/>
  <c r="AA21" i="2" s="1"/>
  <c r="AA53" i="2" s="1"/>
  <c r="AA13" i="2"/>
  <c r="AA131" i="2" s="1"/>
  <c r="AA152" i="2" s="1"/>
  <c r="AA15" i="2"/>
  <c r="AA20" i="2"/>
  <c r="AA55" i="2" s="1"/>
  <c r="X121" i="2"/>
  <c r="X117" i="2"/>
  <c r="X118" i="2" s="1"/>
  <c r="X209" i="2" s="1"/>
  <c r="AA74" i="2"/>
  <c r="Y43" i="2"/>
  <c r="Y48" i="2" s="1"/>
  <c r="Z34" i="2"/>
  <c r="Z38" i="2" s="1"/>
  <c r="AA113" i="2"/>
  <c r="AA107" i="2"/>
  <c r="Y115" i="2"/>
  <c r="AB4" i="2"/>
  <c r="X233" i="2" l="1"/>
  <c r="S21" i="8"/>
  <c r="X230" i="2"/>
  <c r="S18" i="8"/>
  <c r="Y50" i="2"/>
  <c r="Y286" i="2"/>
  <c r="AA142" i="2"/>
  <c r="AA185" i="2" s="1"/>
  <c r="AA187" i="2"/>
  <c r="AA173" i="2"/>
  <c r="AA172" i="2"/>
  <c r="AA199" i="2"/>
  <c r="AA214" i="2"/>
  <c r="AA60" i="2"/>
  <c r="AA65" i="2" s="1"/>
  <c r="AA194" i="2" s="1"/>
  <c r="AA56" i="2"/>
  <c r="AA82" i="2" s="1"/>
  <c r="AA17" i="2"/>
  <c r="AA130" i="2" s="1"/>
  <c r="AA46" i="2"/>
  <c r="X125" i="2"/>
  <c r="AB9" i="2"/>
  <c r="AB61" i="2" s="1"/>
  <c r="Z40" i="2"/>
  <c r="Z43" i="2"/>
  <c r="Z48" i="2" s="1"/>
  <c r="Z286" i="2" s="1"/>
  <c r="AA29" i="2"/>
  <c r="AA31" i="2"/>
  <c r="AA32" i="2" s="1"/>
  <c r="AA22" i="2"/>
  <c r="AA39" i="2" s="1"/>
  <c r="AA59" i="2"/>
  <c r="AB5" i="2"/>
  <c r="AB134" i="2" s="1"/>
  <c r="AB6" i="2"/>
  <c r="W2" i="8" s="1"/>
  <c r="AA112" i="2" l="1"/>
  <c r="V6" i="8"/>
  <c r="AA239" i="2"/>
  <c r="V26" i="8"/>
  <c r="Y81" i="2"/>
  <c r="T5" i="8" s="1"/>
  <c r="Y287" i="2"/>
  <c r="AB14" i="2"/>
  <c r="AB21" i="2" s="1"/>
  <c r="AB53" i="2" s="1"/>
  <c r="AB135" i="2"/>
  <c r="AB15" i="2"/>
  <c r="AB13" i="2"/>
  <c r="AB131" i="2" s="1"/>
  <c r="AB152" i="2" s="1"/>
  <c r="AB139" i="2"/>
  <c r="AB20" i="2"/>
  <c r="AB55" i="2" s="1"/>
  <c r="AB74" i="2"/>
  <c r="Z50" i="2"/>
  <c r="AA34" i="2"/>
  <c r="AA38" i="2" s="1"/>
  <c r="AB113" i="2"/>
  <c r="AB107" i="2"/>
  <c r="Z115" i="2"/>
  <c r="AB60" i="2"/>
  <c r="AB65" i="2" s="1"/>
  <c r="AB194" i="2" s="1"/>
  <c r="AC4" i="2"/>
  <c r="AB187" i="2" l="1"/>
  <c r="AB284" i="2"/>
  <c r="AB295" i="2" s="1"/>
  <c r="Y288" i="2"/>
  <c r="Z81" i="2"/>
  <c r="U5" i="8" s="1"/>
  <c r="Z287" i="2"/>
  <c r="Y83" i="2"/>
  <c r="T7" i="8" s="1"/>
  <c r="Y106" i="2"/>
  <c r="Y109" i="2" s="1"/>
  <c r="AB199" i="2"/>
  <c r="AB214" i="2"/>
  <c r="AB142" i="2"/>
  <c r="AB185" i="2" s="1"/>
  <c r="AB173" i="2"/>
  <c r="AB172" i="2"/>
  <c r="AB46" i="2"/>
  <c r="AB17" i="2"/>
  <c r="AB130" i="2" s="1"/>
  <c r="AB56" i="2"/>
  <c r="AB82" i="2" s="1"/>
  <c r="Z83" i="2"/>
  <c r="Z106" i="2"/>
  <c r="Z109" i="2" s="1"/>
  <c r="Z268" i="2" s="1"/>
  <c r="U41" i="8" s="1"/>
  <c r="AC9" i="2"/>
  <c r="AC20" i="2" s="1"/>
  <c r="AA40" i="2"/>
  <c r="AA43" i="2"/>
  <c r="AA48" i="2" s="1"/>
  <c r="AA286" i="2" s="1"/>
  <c r="AB29" i="2"/>
  <c r="AB31" i="2"/>
  <c r="AB32" i="2" s="1"/>
  <c r="AB22" i="2"/>
  <c r="AB39" i="2" s="1"/>
  <c r="AB59" i="2"/>
  <c r="AC5" i="2"/>
  <c r="AC134" i="2" s="1"/>
  <c r="AC6" i="2"/>
  <c r="X2" i="8" s="1"/>
  <c r="Z206" i="2" l="1"/>
  <c r="U7" i="8"/>
  <c r="AB112" i="2"/>
  <c r="W6" i="8"/>
  <c r="AB239" i="2"/>
  <c r="W26" i="8"/>
  <c r="Z288" i="2"/>
  <c r="Y268" i="2"/>
  <c r="T41" i="8" s="1"/>
  <c r="Y117" i="2"/>
  <c r="Y118" i="2" s="1"/>
  <c r="Y206" i="2"/>
  <c r="Y121" i="2"/>
  <c r="Y84" i="2"/>
  <c r="T8" i="8" s="1"/>
  <c r="AC14" i="2"/>
  <c r="AC21" i="2" s="1"/>
  <c r="AC53" i="2" s="1"/>
  <c r="AC135" i="2"/>
  <c r="AC13" i="2"/>
  <c r="AC131" i="2" s="1"/>
  <c r="AC152" i="2" s="1"/>
  <c r="AC139" i="2"/>
  <c r="AC15" i="2"/>
  <c r="Z121" i="2"/>
  <c r="AC61" i="2"/>
  <c r="Z84" i="2"/>
  <c r="U8" i="8" s="1"/>
  <c r="AC55" i="2"/>
  <c r="AC46" i="2"/>
  <c r="Z117" i="2"/>
  <c r="AC74" i="2"/>
  <c r="AA50" i="2"/>
  <c r="AB34" i="2"/>
  <c r="AB38" i="2" s="1"/>
  <c r="AC113" i="2"/>
  <c r="AC107" i="2"/>
  <c r="AA115" i="2"/>
  <c r="AD4" i="2"/>
  <c r="Y230" i="2" l="1"/>
  <c r="T18" i="8"/>
  <c r="Z118" i="2"/>
  <c r="Z209" i="2" s="1"/>
  <c r="Z230" i="2"/>
  <c r="U18" i="8"/>
  <c r="AC187" i="2"/>
  <c r="AC284" i="2"/>
  <c r="AC295" i="2" s="1"/>
  <c r="AA81" i="2"/>
  <c r="V5" i="8" s="1"/>
  <c r="AA287" i="2"/>
  <c r="Y209" i="2"/>
  <c r="Y125" i="2"/>
  <c r="AC56" i="2"/>
  <c r="AC82" i="2" s="1"/>
  <c r="AC199" i="2"/>
  <c r="AC214" i="2"/>
  <c r="AC142" i="2"/>
  <c r="AC185" i="2" s="1"/>
  <c r="AC172" i="2"/>
  <c r="AC173" i="2"/>
  <c r="AC60" i="2"/>
  <c r="AC65" i="2" s="1"/>
  <c r="AC194" i="2" s="1"/>
  <c r="AC17" i="2"/>
  <c r="AC130" i="2" s="1"/>
  <c r="AA83" i="2"/>
  <c r="AD9" i="2"/>
  <c r="AD61" i="2" s="1"/>
  <c r="AB40" i="2"/>
  <c r="AB43" i="2"/>
  <c r="AB48" i="2" s="1"/>
  <c r="AB286" i="2" s="1"/>
  <c r="AC29" i="2"/>
  <c r="AC31" i="2"/>
  <c r="AC32" i="2" s="1"/>
  <c r="AC22" i="2"/>
  <c r="AC39" i="2" s="1"/>
  <c r="AC59" i="2"/>
  <c r="AD5" i="2"/>
  <c r="AD134" i="2" s="1"/>
  <c r="AD6" i="2"/>
  <c r="Y2" i="8" s="1"/>
  <c r="AA206" i="2" l="1"/>
  <c r="V7" i="8"/>
  <c r="AC239" i="2"/>
  <c r="X26" i="8"/>
  <c r="AC112" i="2"/>
  <c r="X6" i="8"/>
  <c r="Y233" i="2"/>
  <c r="T21" i="8"/>
  <c r="Z233" i="2"/>
  <c r="U21" i="8"/>
  <c r="Z125" i="2"/>
  <c r="AA106" i="2"/>
  <c r="AA109" i="2" s="1"/>
  <c r="AA268" i="2" s="1"/>
  <c r="V41" i="8" s="1"/>
  <c r="AA288" i="2"/>
  <c r="AD139" i="2"/>
  <c r="AD284" i="2" s="1"/>
  <c r="AD295" i="2" s="1"/>
  <c r="AD135" i="2"/>
  <c r="AD13" i="2"/>
  <c r="AD131" i="2" s="1"/>
  <c r="AD152" i="2" s="1"/>
  <c r="AD14" i="2"/>
  <c r="AD21" i="2" s="1"/>
  <c r="AD53" i="2" s="1"/>
  <c r="AD15" i="2"/>
  <c r="AD20" i="2"/>
  <c r="AD55" i="2" s="1"/>
  <c r="AA121" i="2"/>
  <c r="AA84" i="2"/>
  <c r="V8" i="8" s="1"/>
  <c r="AD74" i="2"/>
  <c r="AB50" i="2"/>
  <c r="AC34" i="2"/>
  <c r="AC38" i="2" s="1"/>
  <c r="AD107" i="2"/>
  <c r="AD113" i="2"/>
  <c r="AB115" i="2"/>
  <c r="AE4" i="2"/>
  <c r="AA117" i="2" l="1"/>
  <c r="AA118" i="2" s="1"/>
  <c r="AA209" i="2" s="1"/>
  <c r="AA230" i="2"/>
  <c r="V18" i="8"/>
  <c r="AB81" i="2"/>
  <c r="W5" i="8" s="1"/>
  <c r="AB287" i="2"/>
  <c r="AD142" i="2"/>
  <c r="AD185" i="2" s="1"/>
  <c r="AD187" i="2"/>
  <c r="AD173" i="2"/>
  <c r="AD172" i="2"/>
  <c r="AD199" i="2"/>
  <c r="AD214" i="2"/>
  <c r="AD60" i="2"/>
  <c r="AD65" i="2" s="1"/>
  <c r="AD194" i="2" s="1"/>
  <c r="AD17" i="2"/>
  <c r="AD130" i="2" s="1"/>
  <c r="AD56" i="2"/>
  <c r="AD82" i="2" s="1"/>
  <c r="AD46" i="2"/>
  <c r="AB83" i="2"/>
  <c r="AB106" i="2"/>
  <c r="AB109" i="2" s="1"/>
  <c r="AB268" i="2" s="1"/>
  <c r="W41" i="8" s="1"/>
  <c r="AA125" i="2"/>
  <c r="AE9" i="2"/>
  <c r="AE61" i="2" s="1"/>
  <c r="AC40" i="2"/>
  <c r="AC43" i="2"/>
  <c r="AC48" i="2" s="1"/>
  <c r="AC286" i="2" s="1"/>
  <c r="AD29" i="2"/>
  <c r="AD31" i="2"/>
  <c r="AD32" i="2" s="1"/>
  <c r="AD22" i="2"/>
  <c r="AD39" i="2" s="1"/>
  <c r="AD59" i="2"/>
  <c r="AE5" i="2"/>
  <c r="AE134" i="2" s="1"/>
  <c r="AE6" i="2"/>
  <c r="Z2" i="8" s="1"/>
  <c r="AB206" i="2" l="1"/>
  <c r="W7" i="8"/>
  <c r="AD112" i="2"/>
  <c r="Y6" i="8"/>
  <c r="AD239" i="2"/>
  <c r="Y26" i="8"/>
  <c r="AA233" i="2"/>
  <c r="V21" i="8"/>
  <c r="AB288" i="2"/>
  <c r="AE15" i="2"/>
  <c r="AE135" i="2"/>
  <c r="AE14" i="2"/>
  <c r="AE21" i="2" s="1"/>
  <c r="AE53" i="2" s="1"/>
  <c r="AE13" i="2"/>
  <c r="AE131" i="2" s="1"/>
  <c r="AE152" i="2" s="1"/>
  <c r="AE139" i="2"/>
  <c r="AB121" i="2"/>
  <c r="AB84" i="2"/>
  <c r="W8" i="8" s="1"/>
  <c r="AE20" i="2"/>
  <c r="AB117" i="2"/>
  <c r="AB118" i="2" s="1"/>
  <c r="AB209" i="2" s="1"/>
  <c r="AE74" i="2"/>
  <c r="AC50" i="2"/>
  <c r="AD34" i="2"/>
  <c r="AD38" i="2" s="1"/>
  <c r="AE113" i="2"/>
  <c r="AE107" i="2"/>
  <c r="AC115" i="2"/>
  <c r="AF4" i="2"/>
  <c r="AB233" i="2" l="1"/>
  <c r="W21" i="8"/>
  <c r="AB230" i="2"/>
  <c r="W18" i="8"/>
  <c r="AE187" i="2"/>
  <c r="AE284" i="2"/>
  <c r="AE295" i="2" s="1"/>
  <c r="AC81" i="2"/>
  <c r="X5" i="8" s="1"/>
  <c r="AC287" i="2"/>
  <c r="AE199" i="2"/>
  <c r="AE214" i="2"/>
  <c r="AE142" i="2"/>
  <c r="AE185" i="2" s="1"/>
  <c r="AE172" i="2"/>
  <c r="AE173" i="2"/>
  <c r="AE60" i="2"/>
  <c r="AE65" i="2" s="1"/>
  <c r="AE194" i="2" s="1"/>
  <c r="AE17" i="2"/>
  <c r="AE130" i="2" s="1"/>
  <c r="AE55" i="2"/>
  <c r="AE56" i="2" s="1"/>
  <c r="AE82" i="2" s="1"/>
  <c r="AE46" i="2"/>
  <c r="AC83" i="2"/>
  <c r="AC106" i="2"/>
  <c r="AC109" i="2" s="1"/>
  <c r="AC268" i="2" s="1"/>
  <c r="X41" i="8" s="1"/>
  <c r="AB125" i="2"/>
  <c r="AF9" i="2"/>
  <c r="AF20" i="2" s="1"/>
  <c r="AD40" i="2"/>
  <c r="AD43" i="2"/>
  <c r="AD48" i="2" s="1"/>
  <c r="AD286" i="2" s="1"/>
  <c r="AE29" i="2"/>
  <c r="AE31" i="2"/>
  <c r="AE32" i="2" s="1"/>
  <c r="AE22" i="2"/>
  <c r="AE39" i="2" s="1"/>
  <c r="AE59" i="2"/>
  <c r="AF5" i="2"/>
  <c r="AF134" i="2" s="1"/>
  <c r="AF6" i="2"/>
  <c r="AA2" i="8" s="1"/>
  <c r="AC206" i="2" l="1"/>
  <c r="X7" i="8"/>
  <c r="AE112" i="2"/>
  <c r="Z6" i="8"/>
  <c r="AE239" i="2"/>
  <c r="Z26" i="8"/>
  <c r="AC288" i="2"/>
  <c r="AF74" i="2"/>
  <c r="AF135" i="2"/>
  <c r="AF14" i="2"/>
  <c r="AF21" i="2" s="1"/>
  <c r="AF53" i="2" s="1"/>
  <c r="AF15" i="2"/>
  <c r="AF13" i="2"/>
  <c r="AF131" i="2" s="1"/>
  <c r="AF152" i="2" s="1"/>
  <c r="AF139" i="2"/>
  <c r="AC121" i="2"/>
  <c r="AC84" i="2"/>
  <c r="X8" i="8" s="1"/>
  <c r="AC117" i="2"/>
  <c r="AC118" i="2" s="1"/>
  <c r="AC209" i="2" s="1"/>
  <c r="AF46" i="2"/>
  <c r="AF55" i="2"/>
  <c r="AF61" i="2"/>
  <c r="AD50" i="2"/>
  <c r="AE34" i="2"/>
  <c r="AE38" i="2" s="1"/>
  <c r="AF113" i="2"/>
  <c r="AF107" i="2"/>
  <c r="AD115" i="2"/>
  <c r="AG4" i="2"/>
  <c r="AC233" i="2" l="1"/>
  <c r="X21" i="8"/>
  <c r="AC230" i="2"/>
  <c r="X18" i="8"/>
  <c r="AF187" i="2"/>
  <c r="AF284" i="2"/>
  <c r="AF295" i="2" s="1"/>
  <c r="AD81" i="2"/>
  <c r="Y5" i="8" s="1"/>
  <c r="AD287" i="2"/>
  <c r="AF60" i="2"/>
  <c r="AF65" i="2" s="1"/>
  <c r="AF194" i="2" s="1"/>
  <c r="AF199" i="2"/>
  <c r="AF214" i="2"/>
  <c r="AF142" i="2"/>
  <c r="AF185" i="2" s="1"/>
  <c r="AF173" i="2"/>
  <c r="AF172" i="2"/>
  <c r="AF56" i="2"/>
  <c r="AF82" i="2" s="1"/>
  <c r="AF17" i="2"/>
  <c r="AF130" i="2" s="1"/>
  <c r="AD83" i="2"/>
  <c r="AD106" i="2"/>
  <c r="AD109" i="2" s="1"/>
  <c r="AD268" i="2" s="1"/>
  <c r="Y41" i="8" s="1"/>
  <c r="AC125" i="2"/>
  <c r="AG9" i="2"/>
  <c r="AG20" i="2" s="1"/>
  <c r="AE40" i="2"/>
  <c r="AE43" i="2"/>
  <c r="AE48" i="2" s="1"/>
  <c r="AE286" i="2" s="1"/>
  <c r="AF29" i="2"/>
  <c r="AF31" i="2"/>
  <c r="AF32" i="2" s="1"/>
  <c r="AF22" i="2"/>
  <c r="AF39" i="2" s="1"/>
  <c r="AF59" i="2"/>
  <c r="AG5" i="2"/>
  <c r="AG134" i="2" s="1"/>
  <c r="AG6" i="2"/>
  <c r="AB2" i="8" s="1"/>
  <c r="AD206" i="2" l="1"/>
  <c r="Y7" i="8"/>
  <c r="AF112" i="2"/>
  <c r="AA6" i="8"/>
  <c r="AF239" i="2"/>
  <c r="AA26" i="8"/>
  <c r="AD288" i="2"/>
  <c r="AG14" i="2"/>
  <c r="AG21" i="2" s="1"/>
  <c r="AG53" i="2" s="1"/>
  <c r="AG135" i="2"/>
  <c r="AG139" i="2"/>
  <c r="AG15" i="2"/>
  <c r="AG13" i="2"/>
  <c r="AG131" i="2" s="1"/>
  <c r="AG152" i="2" s="1"/>
  <c r="AG61" i="2"/>
  <c r="AD84" i="2"/>
  <c r="Y8" i="8" s="1"/>
  <c r="AD121" i="2"/>
  <c r="AD117" i="2"/>
  <c r="AD118" i="2" s="1"/>
  <c r="AD209" i="2" s="1"/>
  <c r="AG46" i="2"/>
  <c r="AG55" i="2"/>
  <c r="AG74" i="2"/>
  <c r="AE50" i="2"/>
  <c r="AF34" i="2"/>
  <c r="AF38" i="2" s="1"/>
  <c r="AG107" i="2"/>
  <c r="AG113" i="2"/>
  <c r="AE115" i="2"/>
  <c r="AH4" i="2"/>
  <c r="AD230" i="2" l="1"/>
  <c r="Y18" i="8"/>
  <c r="AD233" i="2"/>
  <c r="Y21" i="8"/>
  <c r="AG187" i="2"/>
  <c r="AG284" i="2"/>
  <c r="AG295" i="2" s="1"/>
  <c r="AE81" i="2"/>
  <c r="Z5" i="8" s="1"/>
  <c r="AE287" i="2"/>
  <c r="AG56" i="2"/>
  <c r="AG82" i="2" s="1"/>
  <c r="AG199" i="2"/>
  <c r="AG214" i="2"/>
  <c r="AG142" i="2"/>
  <c r="AG185" i="2" s="1"/>
  <c r="AG173" i="2"/>
  <c r="AG172" i="2"/>
  <c r="AG60" i="2"/>
  <c r="AG65" i="2" s="1"/>
  <c r="AG194" i="2" s="1"/>
  <c r="AG17" i="2"/>
  <c r="AG130" i="2" s="1"/>
  <c r="AE83" i="2"/>
  <c r="AE106" i="2"/>
  <c r="AE109" i="2" s="1"/>
  <c r="AE268" i="2" s="1"/>
  <c r="Z41" i="8" s="1"/>
  <c r="AD125" i="2"/>
  <c r="AH9" i="2"/>
  <c r="AH20" i="2" s="1"/>
  <c r="AF40" i="2"/>
  <c r="AF43" i="2"/>
  <c r="AF48" i="2" s="1"/>
  <c r="AF286" i="2" s="1"/>
  <c r="AG29" i="2"/>
  <c r="AG31" i="2"/>
  <c r="AG32" i="2" s="1"/>
  <c r="AG22" i="2"/>
  <c r="AG39" i="2" s="1"/>
  <c r="AG59" i="2"/>
  <c r="AH5" i="2"/>
  <c r="AH134" i="2" s="1"/>
  <c r="AH6" i="2"/>
  <c r="AC2" i="8" s="1"/>
  <c r="AE206" i="2" l="1"/>
  <c r="Z7" i="8"/>
  <c r="AG239" i="2"/>
  <c r="AB26" i="8"/>
  <c r="AG112" i="2"/>
  <c r="AB6" i="8"/>
  <c r="AE288" i="2"/>
  <c r="AH15" i="2"/>
  <c r="AH135" i="2"/>
  <c r="AH139" i="2"/>
  <c r="AH13" i="2"/>
  <c r="AH131" i="2" s="1"/>
  <c r="AH152" i="2" s="1"/>
  <c r="AH14" i="2"/>
  <c r="AH21" i="2" s="1"/>
  <c r="AH53" i="2" s="1"/>
  <c r="AH46" i="2"/>
  <c r="AH55" i="2"/>
  <c r="AH61" i="2"/>
  <c r="AE84" i="2"/>
  <c r="Z8" i="8" s="1"/>
  <c r="AE121" i="2"/>
  <c r="AE117" i="2"/>
  <c r="AE118" i="2" s="1"/>
  <c r="AE209" i="2" s="1"/>
  <c r="AH74" i="2"/>
  <c r="AF50" i="2"/>
  <c r="AG34" i="2"/>
  <c r="AG38" i="2" s="1"/>
  <c r="AH107" i="2"/>
  <c r="AH113" i="2"/>
  <c r="AF115" i="2"/>
  <c r="AI4" i="2"/>
  <c r="AE233" i="2" l="1"/>
  <c r="Z21" i="8"/>
  <c r="AE230" i="2"/>
  <c r="Z18" i="8"/>
  <c r="AH187" i="2"/>
  <c r="AH284" i="2"/>
  <c r="AH295" i="2" s="1"/>
  <c r="AF81" i="2"/>
  <c r="AA5" i="8" s="1"/>
  <c r="AF287" i="2"/>
  <c r="AH56" i="2"/>
  <c r="AH82" i="2" s="1"/>
  <c r="AH60" i="2"/>
  <c r="AH65" i="2" s="1"/>
  <c r="AH194" i="2" s="1"/>
  <c r="AH199" i="2"/>
  <c r="AH214" i="2"/>
  <c r="AH142" i="2"/>
  <c r="AH185" i="2" s="1"/>
  <c r="AH173" i="2"/>
  <c r="AH172" i="2"/>
  <c r="AH17" i="2"/>
  <c r="AH130" i="2" s="1"/>
  <c r="AF83" i="2"/>
  <c r="AF106" i="2"/>
  <c r="AF109" i="2" s="1"/>
  <c r="AF268" i="2" s="1"/>
  <c r="AA41" i="8" s="1"/>
  <c r="AE125" i="2"/>
  <c r="AI9" i="2"/>
  <c r="AI20" i="2" s="1"/>
  <c r="AG40" i="2"/>
  <c r="AG43" i="2"/>
  <c r="AG48" i="2" s="1"/>
  <c r="AG286" i="2" s="1"/>
  <c r="AH29" i="2"/>
  <c r="AH31" i="2"/>
  <c r="AH32" i="2" s="1"/>
  <c r="AH22" i="2"/>
  <c r="AH39" i="2" s="1"/>
  <c r="AH59" i="2"/>
  <c r="AI5" i="2"/>
  <c r="AI134" i="2" s="1"/>
  <c r="AI6" i="2"/>
  <c r="AD2" i="8" s="1"/>
  <c r="AH239" i="2" l="1"/>
  <c r="AC26" i="8"/>
  <c r="AH112" i="2"/>
  <c r="AC6" i="8"/>
  <c r="AF206" i="2"/>
  <c r="AA7" i="8"/>
  <c r="AF288" i="2"/>
  <c r="AI13" i="2"/>
  <c r="AI131" i="2" s="1"/>
  <c r="AI152" i="2" s="1"/>
  <c r="AI199" i="2" s="1"/>
  <c r="AI135" i="2"/>
  <c r="AI139" i="2"/>
  <c r="AI14" i="2"/>
  <c r="AI21" i="2" s="1"/>
  <c r="AI53" i="2" s="1"/>
  <c r="AI15" i="2"/>
  <c r="AI61" i="2"/>
  <c r="AF121" i="2"/>
  <c r="AF84" i="2"/>
  <c r="AA8" i="8" s="1"/>
  <c r="AI46" i="2"/>
  <c r="AI55" i="2"/>
  <c r="AF117" i="2"/>
  <c r="AF118" i="2" s="1"/>
  <c r="AF209" i="2" s="1"/>
  <c r="AI74" i="2"/>
  <c r="AG50" i="2"/>
  <c r="AH34" i="2"/>
  <c r="AH38" i="2" s="1"/>
  <c r="AI107" i="2"/>
  <c r="AI113" i="2"/>
  <c r="AG115" i="2"/>
  <c r="AJ4" i="2"/>
  <c r="AF233" i="2" l="1"/>
  <c r="AA21" i="8"/>
  <c r="AF230" i="2"/>
  <c r="AA18" i="8"/>
  <c r="AI187" i="2"/>
  <c r="AI284" i="2"/>
  <c r="AI295" i="2" s="1"/>
  <c r="AG81" i="2"/>
  <c r="AB5" i="8" s="1"/>
  <c r="AG287" i="2"/>
  <c r="AI60" i="2"/>
  <c r="AI65" i="2" s="1"/>
  <c r="AI194" i="2" s="1"/>
  <c r="AI214" i="2"/>
  <c r="AI142" i="2"/>
  <c r="AI185" i="2" s="1"/>
  <c r="AI173" i="2"/>
  <c r="AI172" i="2"/>
  <c r="AI17" i="2"/>
  <c r="AI130" i="2" s="1"/>
  <c r="AI56" i="2"/>
  <c r="AI82" i="2" s="1"/>
  <c r="AG83" i="2"/>
  <c r="AG106" i="2"/>
  <c r="AG109" i="2" s="1"/>
  <c r="AG268" i="2" s="1"/>
  <c r="AB41" i="8" s="1"/>
  <c r="AF125" i="2"/>
  <c r="AJ9" i="2"/>
  <c r="AJ20" i="2" s="1"/>
  <c r="AH40" i="2"/>
  <c r="AH43" i="2"/>
  <c r="AH48" i="2" s="1"/>
  <c r="AH286" i="2" s="1"/>
  <c r="AI29" i="2"/>
  <c r="AI31" i="2"/>
  <c r="AI32" i="2" s="1"/>
  <c r="AI22" i="2"/>
  <c r="AI39" i="2" s="1"/>
  <c r="AI59" i="2"/>
  <c r="AJ5" i="2"/>
  <c r="AJ134" i="2" s="1"/>
  <c r="AJ6" i="2"/>
  <c r="AE2" i="8" s="1"/>
  <c r="AG206" i="2" l="1"/>
  <c r="AB7" i="8"/>
  <c r="AI112" i="2"/>
  <c r="AD6" i="8"/>
  <c r="AI239" i="2"/>
  <c r="AD26" i="8"/>
  <c r="AG288" i="2"/>
  <c r="AJ139" i="2"/>
  <c r="AJ284" i="2" s="1"/>
  <c r="AJ295" i="2" s="1"/>
  <c r="AJ135" i="2"/>
  <c r="AJ13" i="2"/>
  <c r="AJ131" i="2" s="1"/>
  <c r="AJ152" i="2" s="1"/>
  <c r="AJ14" i="2"/>
  <c r="AJ21" i="2" s="1"/>
  <c r="AJ53" i="2" s="1"/>
  <c r="AJ15" i="2"/>
  <c r="AG117" i="2"/>
  <c r="AG118" i="2" s="1"/>
  <c r="AG209" i="2" s="1"/>
  <c r="AJ61" i="2"/>
  <c r="AG121" i="2"/>
  <c r="AG84" i="2"/>
  <c r="AB8" i="8" s="1"/>
  <c r="AJ46" i="2"/>
  <c r="AJ55" i="2"/>
  <c r="AJ74" i="2"/>
  <c r="AH50" i="2"/>
  <c r="AI34" i="2"/>
  <c r="AI38" i="2" s="1"/>
  <c r="AJ113" i="2"/>
  <c r="AJ107" i="2"/>
  <c r="AH115" i="2"/>
  <c r="AK4" i="2"/>
  <c r="AG233" i="2" l="1"/>
  <c r="AB21" i="8"/>
  <c r="AG230" i="2"/>
  <c r="AB18" i="8"/>
  <c r="AH81" i="2"/>
  <c r="AH287" i="2"/>
  <c r="AJ142" i="2"/>
  <c r="AJ185" i="2" s="1"/>
  <c r="AJ187" i="2"/>
  <c r="AJ172" i="2"/>
  <c r="AJ173" i="2"/>
  <c r="AJ199" i="2"/>
  <c r="AJ214" i="2"/>
  <c r="AJ60" i="2"/>
  <c r="AJ65" i="2" s="1"/>
  <c r="AJ194" i="2" s="1"/>
  <c r="AJ17" i="2"/>
  <c r="AJ130" i="2" s="1"/>
  <c r="AJ56" i="2"/>
  <c r="AJ82" i="2" s="1"/>
  <c r="AG125" i="2"/>
  <c r="AK9" i="2"/>
  <c r="AK20" i="2" s="1"/>
  <c r="AI40" i="2"/>
  <c r="AI43" i="2"/>
  <c r="AI48" i="2" s="1"/>
  <c r="AI286" i="2" s="1"/>
  <c r="AJ29" i="2"/>
  <c r="AJ31" i="2"/>
  <c r="AJ32" i="2" s="1"/>
  <c r="AJ22" i="2"/>
  <c r="AJ39" i="2" s="1"/>
  <c r="AJ59" i="2"/>
  <c r="AK5" i="2"/>
  <c r="AK134" i="2" s="1"/>
  <c r="AK6" i="2"/>
  <c r="AF2" i="8" s="1"/>
  <c r="AJ112" i="2" l="1"/>
  <c r="AE6" i="8"/>
  <c r="AH83" i="2"/>
  <c r="AC5" i="8"/>
  <c r="AJ239" i="2"/>
  <c r="AE26" i="8"/>
  <c r="AH106" i="2"/>
  <c r="AH109" i="2" s="1"/>
  <c r="AH268" i="2" s="1"/>
  <c r="AC41" i="8" s="1"/>
  <c r="AH288" i="2"/>
  <c r="AH84" i="2"/>
  <c r="AC8" i="8" s="1"/>
  <c r="AK15" i="2"/>
  <c r="AK135" i="2"/>
  <c r="AK139" i="2"/>
  <c r="AK14" i="2"/>
  <c r="AK21" i="2" s="1"/>
  <c r="AK53" i="2" s="1"/>
  <c r="AK13" i="2"/>
  <c r="AK131" i="2" s="1"/>
  <c r="AK152" i="2" s="1"/>
  <c r="AK46" i="2"/>
  <c r="AK55" i="2"/>
  <c r="AK61" i="2"/>
  <c r="AH121" i="2"/>
  <c r="AK74" i="2"/>
  <c r="AI50" i="2"/>
  <c r="AJ34" i="2"/>
  <c r="AJ38" i="2" s="1"/>
  <c r="AK113" i="2"/>
  <c r="AK107" i="2"/>
  <c r="AI115" i="2"/>
  <c r="AL4" i="2"/>
  <c r="AH206" i="2" l="1"/>
  <c r="AC7" i="8"/>
  <c r="AH117" i="2"/>
  <c r="AH118" i="2" s="1"/>
  <c r="AH209" i="2" s="1"/>
  <c r="AK187" i="2"/>
  <c r="AK284" i="2"/>
  <c r="AK295" i="2" s="1"/>
  <c r="AK60" i="2"/>
  <c r="AK65" i="2" s="1"/>
  <c r="AK194" i="2" s="1"/>
  <c r="AI81" i="2"/>
  <c r="AI287" i="2"/>
  <c r="AK199" i="2"/>
  <c r="AK214" i="2"/>
  <c r="AK142" i="2"/>
  <c r="AK185" i="2" s="1"/>
  <c r="AK173" i="2"/>
  <c r="AK172" i="2"/>
  <c r="AK17" i="2"/>
  <c r="AK130" i="2" s="1"/>
  <c r="AK56" i="2"/>
  <c r="AK82" i="2" s="1"/>
  <c r="AH125" i="2"/>
  <c r="AL9" i="2"/>
  <c r="AL20" i="2" s="1"/>
  <c r="AJ40" i="2"/>
  <c r="AJ43" i="2"/>
  <c r="AJ48" i="2" s="1"/>
  <c r="AJ286" i="2" s="1"/>
  <c r="AK29" i="2"/>
  <c r="AK31" i="2"/>
  <c r="AK32" i="2" s="1"/>
  <c r="AK22" i="2"/>
  <c r="AK39" i="2" s="1"/>
  <c r="AK59" i="2"/>
  <c r="AL5" i="2"/>
  <c r="AL134" i="2" s="1"/>
  <c r="AL6" i="2"/>
  <c r="AG2" i="8" s="1"/>
  <c r="AK112" i="2" l="1"/>
  <c r="AF6" i="8"/>
  <c r="AK239" i="2"/>
  <c r="AF26" i="8"/>
  <c r="AI83" i="2"/>
  <c r="AD5" i="8"/>
  <c r="AH233" i="2"/>
  <c r="AC21" i="8"/>
  <c r="AH230" i="2"/>
  <c r="AC18" i="8"/>
  <c r="AI288" i="2"/>
  <c r="AI106" i="2"/>
  <c r="AI109" i="2" s="1"/>
  <c r="AI268" i="2" s="1"/>
  <c r="AD41" i="8" s="1"/>
  <c r="AL13" i="2"/>
  <c r="AL131" i="2" s="1"/>
  <c r="AL152" i="2" s="1"/>
  <c r="AL199" i="2" s="1"/>
  <c r="AL135" i="2"/>
  <c r="AL14" i="2"/>
  <c r="AL21" i="2" s="1"/>
  <c r="AL53" i="2" s="1"/>
  <c r="AL139" i="2"/>
  <c r="AL15" i="2"/>
  <c r="AL61" i="2"/>
  <c r="AI84" i="2"/>
  <c r="AD8" i="8" s="1"/>
  <c r="AL46" i="2"/>
  <c r="AL55" i="2"/>
  <c r="AL74" i="2"/>
  <c r="AJ50" i="2"/>
  <c r="AK34" i="2"/>
  <c r="AK38" i="2" s="1"/>
  <c r="AL107" i="2"/>
  <c r="AL113" i="2"/>
  <c r="AJ115" i="2"/>
  <c r="AM4" i="2"/>
  <c r="AI206" i="2" l="1"/>
  <c r="AD7" i="8"/>
  <c r="AI117" i="2"/>
  <c r="AI118" i="2" s="1"/>
  <c r="AI209" i="2" s="1"/>
  <c r="AI121" i="2"/>
  <c r="AL187" i="2"/>
  <c r="AL284" i="2"/>
  <c r="AL295" i="2" s="1"/>
  <c r="AJ81" i="2"/>
  <c r="AE5" i="8" s="1"/>
  <c r="AJ287" i="2"/>
  <c r="AL60" i="2"/>
  <c r="AL65" i="2" s="1"/>
  <c r="AL194" i="2" s="1"/>
  <c r="AL214" i="2"/>
  <c r="AL142" i="2"/>
  <c r="AL185" i="2" s="1"/>
  <c r="AL173" i="2"/>
  <c r="AL172" i="2"/>
  <c r="AL17" i="2"/>
  <c r="AL130" i="2" s="1"/>
  <c r="AL56" i="2"/>
  <c r="AL82" i="2" s="1"/>
  <c r="AJ83" i="2"/>
  <c r="AJ106" i="2"/>
  <c r="AJ109" i="2" s="1"/>
  <c r="AJ268" i="2" s="1"/>
  <c r="AE41" i="8" s="1"/>
  <c r="AI125" i="2"/>
  <c r="AM9" i="2"/>
  <c r="AM20" i="2" s="1"/>
  <c r="AK40" i="2"/>
  <c r="AK43" i="2"/>
  <c r="AK48" i="2" s="1"/>
  <c r="AK286" i="2" s="1"/>
  <c r="AL29" i="2"/>
  <c r="AL31" i="2"/>
  <c r="AL32" i="2" s="1"/>
  <c r="AL22" i="2"/>
  <c r="AL39" i="2" s="1"/>
  <c r="AL59" i="2"/>
  <c r="AM5" i="2"/>
  <c r="AM134" i="2" s="1"/>
  <c r="AM6" i="2"/>
  <c r="AH2" i="8" s="1"/>
  <c r="AJ206" i="2" l="1"/>
  <c r="AE7" i="8"/>
  <c r="AL112" i="2"/>
  <c r="AG6" i="8"/>
  <c r="AL239" i="2"/>
  <c r="AG26" i="8"/>
  <c r="AI233" i="2"/>
  <c r="AD21" i="8"/>
  <c r="AI230" i="2"/>
  <c r="AD18" i="8"/>
  <c r="AJ288" i="2"/>
  <c r="AM14" i="2"/>
  <c r="AM21" i="2" s="1"/>
  <c r="AM53" i="2" s="1"/>
  <c r="AM135" i="2"/>
  <c r="AM15" i="2"/>
  <c r="AM139" i="2"/>
  <c r="AM13" i="2"/>
  <c r="AM131" i="2" s="1"/>
  <c r="AM152" i="2" s="1"/>
  <c r="AJ121" i="2"/>
  <c r="AJ84" i="2"/>
  <c r="AE8" i="8" s="1"/>
  <c r="AM61" i="2"/>
  <c r="AM46" i="2"/>
  <c r="AM55" i="2"/>
  <c r="AJ117" i="2"/>
  <c r="AJ118" i="2" s="1"/>
  <c r="AJ209" i="2" s="1"/>
  <c r="AM74" i="2"/>
  <c r="AK50" i="2"/>
  <c r="AL34" i="2"/>
  <c r="AL38" i="2" s="1"/>
  <c r="AM113" i="2"/>
  <c r="AM107" i="2"/>
  <c r="AK115" i="2"/>
  <c r="AN4" i="2"/>
  <c r="AJ233" i="2" l="1"/>
  <c r="AE21" i="8"/>
  <c r="AJ230" i="2"/>
  <c r="AE18" i="8"/>
  <c r="AM187" i="2"/>
  <c r="AM284" i="2"/>
  <c r="AM295" i="2" s="1"/>
  <c r="AK81" i="2"/>
  <c r="AK287" i="2"/>
  <c r="AM60" i="2"/>
  <c r="AM65" i="2" s="1"/>
  <c r="AM194" i="2" s="1"/>
  <c r="AM56" i="2"/>
  <c r="AM82" i="2" s="1"/>
  <c r="AM199" i="2"/>
  <c r="AM214" i="2"/>
  <c r="AM142" i="2"/>
  <c r="AM185" i="2" s="1"/>
  <c r="AM173" i="2"/>
  <c r="AM172" i="2"/>
  <c r="AM17" i="2"/>
  <c r="AM130" i="2" s="1"/>
  <c r="AJ125" i="2"/>
  <c r="AN9" i="2"/>
  <c r="AN61" i="2" s="1"/>
  <c r="AL40" i="2"/>
  <c r="AM29" i="2"/>
  <c r="AM31" i="2"/>
  <c r="AM32" i="2" s="1"/>
  <c r="AM22" i="2"/>
  <c r="AM39" i="2" s="1"/>
  <c r="AM59" i="2"/>
  <c r="AN5" i="2"/>
  <c r="AN134" i="2" s="1"/>
  <c r="AN6" i="2"/>
  <c r="AI2" i="8" s="1"/>
  <c r="AM239" i="2" l="1"/>
  <c r="AH26" i="8"/>
  <c r="AM112" i="2"/>
  <c r="AH6" i="8"/>
  <c r="AK83" i="2"/>
  <c r="AF5" i="8"/>
  <c r="AK288" i="2"/>
  <c r="AK106" i="2"/>
  <c r="AK109" i="2" s="1"/>
  <c r="AK268" i="2" s="1"/>
  <c r="AF41" i="8" s="1"/>
  <c r="AN13" i="2"/>
  <c r="AN131" i="2" s="1"/>
  <c r="AN152" i="2" s="1"/>
  <c r="AN199" i="2" s="1"/>
  <c r="AN135" i="2"/>
  <c r="AN139" i="2"/>
  <c r="AN14" i="2"/>
  <c r="AN21" i="2" s="1"/>
  <c r="AN53" i="2" s="1"/>
  <c r="AN15" i="2"/>
  <c r="AK121" i="2"/>
  <c r="AK84" i="2"/>
  <c r="AF8" i="8" s="1"/>
  <c r="AN20" i="2"/>
  <c r="AN74" i="2"/>
  <c r="AL43" i="2"/>
  <c r="AL48" i="2" s="1"/>
  <c r="AM34" i="2"/>
  <c r="AM38" i="2" s="1"/>
  <c r="AN113" i="2"/>
  <c r="AN107" i="2"/>
  <c r="AL115" i="2"/>
  <c r="AO4" i="2"/>
  <c r="AK206" i="2" l="1"/>
  <c r="AF7" i="8"/>
  <c r="AN187" i="2"/>
  <c r="AN284" i="2"/>
  <c r="AN295" i="2" s="1"/>
  <c r="AK117" i="2"/>
  <c r="AK118" i="2" s="1"/>
  <c r="AK209" i="2" s="1"/>
  <c r="AL50" i="2"/>
  <c r="AL286" i="2"/>
  <c r="AN60" i="2"/>
  <c r="AN65" i="2" s="1"/>
  <c r="AN194" i="2" s="1"/>
  <c r="AN214" i="2"/>
  <c r="AN142" i="2"/>
  <c r="AN185" i="2" s="1"/>
  <c r="AN173" i="2"/>
  <c r="AN172" i="2"/>
  <c r="AN17" i="2"/>
  <c r="AN130" i="2" s="1"/>
  <c r="AK125" i="2"/>
  <c r="AN46" i="2"/>
  <c r="AN55" i="2"/>
  <c r="AN56" i="2" s="1"/>
  <c r="AN82" i="2" s="1"/>
  <c r="AO9" i="2"/>
  <c r="AO20" i="2" s="1"/>
  <c r="AM40" i="2"/>
  <c r="AN29" i="2"/>
  <c r="AN31" i="2"/>
  <c r="AN32" i="2" s="1"/>
  <c r="AN22" i="2"/>
  <c r="AN39" i="2" s="1"/>
  <c r="AN59" i="2"/>
  <c r="AO5" i="2"/>
  <c r="AO134" i="2" s="1"/>
  <c r="AO6" i="2"/>
  <c r="AJ2" i="8" s="1"/>
  <c r="AK233" i="2" l="1"/>
  <c r="AF21" i="8"/>
  <c r="AN112" i="2"/>
  <c r="AI6" i="8"/>
  <c r="AN239" i="2"/>
  <c r="AI26" i="8"/>
  <c r="AK230" i="2"/>
  <c r="AF18" i="8"/>
  <c r="AL81" i="2"/>
  <c r="AG5" i="8" s="1"/>
  <c r="AL287" i="2"/>
  <c r="AO13" i="2"/>
  <c r="AO131" i="2" s="1"/>
  <c r="AO152" i="2" s="1"/>
  <c r="AO199" i="2" s="1"/>
  <c r="AO135" i="2"/>
  <c r="AO15" i="2"/>
  <c r="AO14" i="2"/>
  <c r="AO21" i="2" s="1"/>
  <c r="AO53" i="2" s="1"/>
  <c r="AO139" i="2"/>
  <c r="AO61" i="2"/>
  <c r="AO46" i="2"/>
  <c r="AO55" i="2"/>
  <c r="AO74" i="2"/>
  <c r="AM43" i="2"/>
  <c r="AM48" i="2" s="1"/>
  <c r="AN34" i="2"/>
  <c r="AN38" i="2" s="1"/>
  <c r="AO113" i="2"/>
  <c r="AO107" i="2"/>
  <c r="AM115" i="2"/>
  <c r="AP4" i="2"/>
  <c r="AO187" i="2" l="1"/>
  <c r="AO284" i="2"/>
  <c r="AO295" i="2" s="1"/>
  <c r="AL288" i="2"/>
  <c r="AM50" i="2"/>
  <c r="AM286" i="2"/>
  <c r="AL83" i="2"/>
  <c r="AG7" i="8" s="1"/>
  <c r="AL106" i="2"/>
  <c r="AL109" i="2" s="1"/>
  <c r="AO60" i="2"/>
  <c r="AO65" i="2" s="1"/>
  <c r="AO194" i="2" s="1"/>
  <c r="AO214" i="2"/>
  <c r="AO56" i="2"/>
  <c r="AO82" i="2" s="1"/>
  <c r="AO142" i="2"/>
  <c r="AO185" i="2" s="1"/>
  <c r="AO173" i="2"/>
  <c r="AO172" i="2"/>
  <c r="AO17" i="2"/>
  <c r="AO130" i="2" s="1"/>
  <c r="AP9" i="2"/>
  <c r="AP20" i="2" s="1"/>
  <c r="AP46" i="2" s="1"/>
  <c r="AN40" i="2"/>
  <c r="AN43" i="2"/>
  <c r="AN48" i="2" s="1"/>
  <c r="AN286" i="2" s="1"/>
  <c r="AO29" i="2"/>
  <c r="AO31" i="2"/>
  <c r="AO32" i="2" s="1"/>
  <c r="AO22" i="2"/>
  <c r="AO39" i="2" s="1"/>
  <c r="AO59" i="2"/>
  <c r="AP5" i="2"/>
  <c r="AP134" i="2" s="1"/>
  <c r="AP6" i="2"/>
  <c r="AK2" i="8" s="1"/>
  <c r="AO112" i="2" l="1"/>
  <c r="AJ6" i="8"/>
  <c r="AO239" i="2"/>
  <c r="AJ26" i="8"/>
  <c r="AL268" i="2"/>
  <c r="AG41" i="8" s="1"/>
  <c r="AL117" i="2"/>
  <c r="AL118" i="2" s="1"/>
  <c r="AL206" i="2"/>
  <c r="AL84" i="2"/>
  <c r="AG8" i="8" s="1"/>
  <c r="AL121" i="2"/>
  <c r="AM81" i="2"/>
  <c r="AH5" i="8" s="1"/>
  <c r="AM287" i="2"/>
  <c r="AP14" i="2"/>
  <c r="AP21" i="2" s="1"/>
  <c r="AP53" i="2" s="1"/>
  <c r="AP135" i="2"/>
  <c r="AP15" i="2"/>
  <c r="AP13" i="2"/>
  <c r="AP131" i="2" s="1"/>
  <c r="AP152" i="2" s="1"/>
  <c r="AP139" i="2"/>
  <c r="AP61" i="2"/>
  <c r="AP74" i="2"/>
  <c r="AP55" i="2"/>
  <c r="AN50" i="2"/>
  <c r="AO34" i="2"/>
  <c r="AO38" i="2" s="1"/>
  <c r="AP107" i="2"/>
  <c r="AP113" i="2"/>
  <c r="AN115" i="2"/>
  <c r="AQ4" i="2"/>
  <c r="AL230" i="2" l="1"/>
  <c r="AG18" i="8"/>
  <c r="AP187" i="2"/>
  <c r="AP284" i="2"/>
  <c r="AP295" i="2" s="1"/>
  <c r="AM288" i="2"/>
  <c r="AN81" i="2"/>
  <c r="AI5" i="8" s="1"/>
  <c r="AN287" i="2"/>
  <c r="AM83" i="2"/>
  <c r="AH7" i="8" s="1"/>
  <c r="AM106" i="2"/>
  <c r="AM109" i="2" s="1"/>
  <c r="AL209" i="2"/>
  <c r="AL125" i="2"/>
  <c r="AP60" i="2"/>
  <c r="AP65" i="2" s="1"/>
  <c r="AP194" i="2" s="1"/>
  <c r="AP199" i="2"/>
  <c r="AP214" i="2"/>
  <c r="AP142" i="2"/>
  <c r="AP185" i="2" s="1"/>
  <c r="AP172" i="2"/>
  <c r="AP173" i="2"/>
  <c r="AP17" i="2"/>
  <c r="AP130" i="2" s="1"/>
  <c r="AP56" i="2"/>
  <c r="AP82" i="2" s="1"/>
  <c r="AN83" i="2"/>
  <c r="AQ9" i="2"/>
  <c r="AQ20" i="2" s="1"/>
  <c r="AO40" i="2"/>
  <c r="AO43" i="2"/>
  <c r="AO48" i="2" s="1"/>
  <c r="AO286" i="2" s="1"/>
  <c r="AP29" i="2"/>
  <c r="AP31" i="2"/>
  <c r="AP32" i="2" s="1"/>
  <c r="AP22" i="2"/>
  <c r="AP39" i="2" s="1"/>
  <c r="AP59" i="2"/>
  <c r="AQ5" i="2"/>
  <c r="AQ134" i="2" s="1"/>
  <c r="AQ6" i="2"/>
  <c r="AL2" i="8" s="1"/>
  <c r="AN206" i="2" l="1"/>
  <c r="AI7" i="8"/>
  <c r="AP112" i="2"/>
  <c r="AK6" i="8"/>
  <c r="AP239" i="2"/>
  <c r="AK26" i="8"/>
  <c r="AL233" i="2"/>
  <c r="AG21" i="8"/>
  <c r="AN106" i="2"/>
  <c r="AN109" i="2" s="1"/>
  <c r="AN268" i="2" s="1"/>
  <c r="AI41" i="8" s="1"/>
  <c r="AN288" i="2"/>
  <c r="AN84" i="2"/>
  <c r="AI8" i="8" s="1"/>
  <c r="AM268" i="2"/>
  <c r="AH41" i="8" s="1"/>
  <c r="AM117" i="2"/>
  <c r="AM118" i="2" s="1"/>
  <c r="AM206" i="2"/>
  <c r="AM84" i="2"/>
  <c r="AH8" i="8" s="1"/>
  <c r="AM121" i="2"/>
  <c r="AQ139" i="2"/>
  <c r="AQ284" i="2" s="1"/>
  <c r="AQ295" i="2" s="1"/>
  <c r="AQ135" i="2"/>
  <c r="AQ14" i="2"/>
  <c r="AQ21" i="2" s="1"/>
  <c r="AQ53" i="2" s="1"/>
  <c r="AN121" i="2"/>
  <c r="AQ15" i="2"/>
  <c r="AQ13" i="2"/>
  <c r="AQ131" i="2" s="1"/>
  <c r="AQ152" i="2" s="1"/>
  <c r="AQ61" i="2"/>
  <c r="AQ46" i="2"/>
  <c r="AQ55" i="2"/>
  <c r="AQ74" i="2"/>
  <c r="AO50" i="2"/>
  <c r="AP34" i="2"/>
  <c r="AP38" i="2" s="1"/>
  <c r="AQ107" i="2"/>
  <c r="AQ113" i="2"/>
  <c r="AO115" i="2"/>
  <c r="AR4" i="2"/>
  <c r="AN230" i="2" l="1"/>
  <c r="AI18" i="8"/>
  <c r="AM230" i="2"/>
  <c r="AH18" i="8"/>
  <c r="AN117" i="2"/>
  <c r="AN118" i="2" s="1"/>
  <c r="AN209" i="2" s="1"/>
  <c r="AO81" i="2"/>
  <c r="AO287" i="2"/>
  <c r="AM209" i="2"/>
  <c r="AM125" i="2"/>
  <c r="AQ172" i="2"/>
  <c r="AQ187" i="2"/>
  <c r="AQ142" i="2"/>
  <c r="AQ185" i="2" s="1"/>
  <c r="AQ173" i="2"/>
  <c r="AQ56" i="2"/>
  <c r="AQ82" i="2" s="1"/>
  <c r="AQ199" i="2"/>
  <c r="AQ214" i="2"/>
  <c r="AQ60" i="2"/>
  <c r="AQ65" i="2" s="1"/>
  <c r="AQ194" i="2" s="1"/>
  <c r="AQ17" i="2"/>
  <c r="AQ130" i="2" s="1"/>
  <c r="AN125" i="2"/>
  <c r="AR9" i="2"/>
  <c r="AR20" i="2" s="1"/>
  <c r="AP40" i="2"/>
  <c r="AP43" i="2"/>
  <c r="AP48" i="2" s="1"/>
  <c r="AP286" i="2" s="1"/>
  <c r="AQ29" i="2"/>
  <c r="AQ31" i="2"/>
  <c r="AQ32" i="2" s="1"/>
  <c r="AQ22" i="2"/>
  <c r="AQ39" i="2" s="1"/>
  <c r="AQ59" i="2"/>
  <c r="AR5" i="2"/>
  <c r="AR134" i="2" s="1"/>
  <c r="AR6" i="2"/>
  <c r="AM2" i="8" s="1"/>
  <c r="AQ239" i="2" l="1"/>
  <c r="AL26" i="8"/>
  <c r="AO83" i="2"/>
  <c r="AJ5" i="8"/>
  <c r="AN233" i="2"/>
  <c r="AI21" i="8"/>
  <c r="AQ112" i="2"/>
  <c r="AL6" i="8"/>
  <c r="AM233" i="2"/>
  <c r="AH21" i="8"/>
  <c r="AO288" i="2"/>
  <c r="AO106" i="2"/>
  <c r="AO109" i="2" s="1"/>
  <c r="AO268" i="2" s="1"/>
  <c r="AJ41" i="8" s="1"/>
  <c r="AR139" i="2"/>
  <c r="AR284" i="2" s="1"/>
  <c r="AR295" i="2" s="1"/>
  <c r="AR135" i="2"/>
  <c r="AR14" i="2"/>
  <c r="AR17" i="2" s="1"/>
  <c r="AR130" i="2" s="1"/>
  <c r="AR13" i="2"/>
  <c r="AR131" i="2" s="1"/>
  <c r="AR152" i="2" s="1"/>
  <c r="AR15" i="2"/>
  <c r="AR61" i="2"/>
  <c r="AO121" i="2"/>
  <c r="AO84" i="2"/>
  <c r="AJ8" i="8" s="1"/>
  <c r="AR46" i="2"/>
  <c r="AR55" i="2"/>
  <c r="AR74" i="2"/>
  <c r="AP50" i="2"/>
  <c r="AQ34" i="2"/>
  <c r="AQ38" i="2" s="1"/>
  <c r="AR113" i="2"/>
  <c r="AR107" i="2"/>
  <c r="AP115" i="2"/>
  <c r="AS4" i="2"/>
  <c r="AO117" i="2" l="1"/>
  <c r="AO118" i="2" s="1"/>
  <c r="AO209" i="2" s="1"/>
  <c r="AO206" i="2"/>
  <c r="AJ7" i="8"/>
  <c r="AP81" i="2"/>
  <c r="AP287" i="2"/>
  <c r="AR173" i="2"/>
  <c r="AR187" i="2"/>
  <c r="AR142" i="2"/>
  <c r="AR185" i="2" s="1"/>
  <c r="AR172" i="2"/>
  <c r="AR199" i="2"/>
  <c r="AR214" i="2"/>
  <c r="AR60" i="2"/>
  <c r="AR65" i="2" s="1"/>
  <c r="AR194" i="2" s="1"/>
  <c r="AO125" i="2"/>
  <c r="AS9" i="2"/>
  <c r="AS20" i="2" s="1"/>
  <c r="AQ40" i="2"/>
  <c r="AQ43" i="2"/>
  <c r="AQ48" i="2" s="1"/>
  <c r="AQ286" i="2" s="1"/>
  <c r="AR59" i="2"/>
  <c r="AR21" i="2"/>
  <c r="AR53" i="2" s="1"/>
  <c r="AR56" i="2" s="1"/>
  <c r="AR82" i="2" s="1"/>
  <c r="AR22" i="2"/>
  <c r="AR39" i="2" s="1"/>
  <c r="AS5" i="2"/>
  <c r="AS134" i="2" s="1"/>
  <c r="AS6" i="2"/>
  <c r="AN2" i="8" s="1"/>
  <c r="AR112" i="2" l="1"/>
  <c r="AM6" i="8"/>
  <c r="AR239" i="2"/>
  <c r="AM26" i="8"/>
  <c r="AP83" i="2"/>
  <c r="AK7" i="8" s="1"/>
  <c r="AK5" i="8"/>
  <c r="AO230" i="2"/>
  <c r="AJ18" i="8"/>
  <c r="AO233" i="2"/>
  <c r="AJ21" i="8"/>
  <c r="AP288" i="2"/>
  <c r="AP206" i="2"/>
  <c r="AP121" i="2"/>
  <c r="AP106" i="2"/>
  <c r="AP109" i="2" s="1"/>
  <c r="AP268" i="2" s="1"/>
  <c r="AK41" i="8" s="1"/>
  <c r="AS14" i="2"/>
  <c r="AS17" i="2" s="1"/>
  <c r="AS130" i="2" s="1"/>
  <c r="AS135" i="2"/>
  <c r="AS13" i="2"/>
  <c r="AS131" i="2" s="1"/>
  <c r="AS152" i="2" s="1"/>
  <c r="AS15" i="2"/>
  <c r="AS22" i="2" s="1"/>
  <c r="AS39" i="2" s="1"/>
  <c r="AS139" i="2"/>
  <c r="AS61" i="2"/>
  <c r="AS46" i="2"/>
  <c r="AS55" i="2"/>
  <c r="AS74" i="2"/>
  <c r="AQ50" i="2"/>
  <c r="AR29" i="2"/>
  <c r="AR31" i="2"/>
  <c r="AR32" i="2" s="1"/>
  <c r="AS107" i="2"/>
  <c r="AS113" i="2"/>
  <c r="AQ115" i="2"/>
  <c r="AT4" i="2"/>
  <c r="AP230" i="2" l="1"/>
  <c r="AK18" i="8"/>
  <c r="AP117" i="2"/>
  <c r="AP118" i="2" s="1"/>
  <c r="AP209" i="2" s="1"/>
  <c r="AP84" i="2"/>
  <c r="AK8" i="8" s="1"/>
  <c r="AS187" i="2"/>
  <c r="AS284" i="2"/>
  <c r="AS295" i="2" s="1"/>
  <c r="AQ81" i="2"/>
  <c r="AQ287" i="2"/>
  <c r="AS199" i="2"/>
  <c r="AS214" i="2"/>
  <c r="AS142" i="2"/>
  <c r="AS185" i="2" s="1"/>
  <c r="AS173" i="2"/>
  <c r="AS172" i="2"/>
  <c r="AS60" i="2"/>
  <c r="AS65" i="2" s="1"/>
  <c r="AS194" i="2" s="1"/>
  <c r="AP125" i="2"/>
  <c r="AT9" i="2"/>
  <c r="AT61" i="2" s="1"/>
  <c r="AR34" i="2"/>
  <c r="AR38" i="2" s="1"/>
  <c r="AS59" i="2"/>
  <c r="AS21" i="2"/>
  <c r="AS53" i="2" s="1"/>
  <c r="AS56" i="2" s="1"/>
  <c r="AS82" i="2" s="1"/>
  <c r="AT5" i="2"/>
  <c r="AT134" i="2" s="1"/>
  <c r="AT6" i="2"/>
  <c r="AO2" i="8" s="1"/>
  <c r="AS112" i="2" l="1"/>
  <c r="AN6" i="8"/>
  <c r="AS239" i="2"/>
  <c r="AN26" i="8"/>
  <c r="AQ83" i="2"/>
  <c r="AL7" i="8" s="1"/>
  <c r="AL5" i="8"/>
  <c r="AP233" i="2"/>
  <c r="AK21" i="8"/>
  <c r="AQ288" i="2"/>
  <c r="AQ206" i="2"/>
  <c r="AQ84" i="2"/>
  <c r="AL8" i="8" s="1"/>
  <c r="AQ121" i="2"/>
  <c r="AQ106" i="2"/>
  <c r="AQ109" i="2" s="1"/>
  <c r="AQ268" i="2" s="1"/>
  <c r="AL41" i="8" s="1"/>
  <c r="AT139" i="2"/>
  <c r="AT284" i="2" s="1"/>
  <c r="AT295" i="2" s="1"/>
  <c r="AT135" i="2"/>
  <c r="AT13" i="2"/>
  <c r="AT14" i="2"/>
  <c r="AT15" i="2"/>
  <c r="AQ117" i="2"/>
  <c r="AQ118" i="2" s="1"/>
  <c r="AQ209" i="2" s="1"/>
  <c r="AT20" i="2"/>
  <c r="AT74" i="2"/>
  <c r="AR40" i="2"/>
  <c r="AR43" i="2"/>
  <c r="AR48" i="2" s="1"/>
  <c r="AR286" i="2" s="1"/>
  <c r="AS29" i="2"/>
  <c r="AS31" i="2"/>
  <c r="AS32" i="2" s="1"/>
  <c r="AT107" i="2"/>
  <c r="AT113" i="2"/>
  <c r="AR115" i="2"/>
  <c r="AU4" i="2"/>
  <c r="AQ233" i="2" l="1"/>
  <c r="AL21" i="8"/>
  <c r="AQ230" i="2"/>
  <c r="AL18" i="8"/>
  <c r="AT142" i="2"/>
  <c r="AT185" i="2" s="1"/>
  <c r="AT187" i="2"/>
  <c r="AT172" i="2"/>
  <c r="AT173" i="2"/>
  <c r="AT60" i="2"/>
  <c r="AT65" i="2" s="1"/>
  <c r="AT194" i="2" s="1"/>
  <c r="AT131" i="2"/>
  <c r="AT152" i="2" s="1"/>
  <c r="AT21" i="2"/>
  <c r="AT53" i="2" s="1"/>
  <c r="AT17" i="2"/>
  <c r="AT130" i="2" s="1"/>
  <c r="AQ125" i="2"/>
  <c r="AT46" i="2"/>
  <c r="AT55" i="2"/>
  <c r="AU9" i="2"/>
  <c r="AU61" i="2" s="1"/>
  <c r="AR50" i="2"/>
  <c r="AS34" i="2"/>
  <c r="AS38" i="2" s="1"/>
  <c r="AT22" i="2"/>
  <c r="AT39" i="2" s="1"/>
  <c r="AT59" i="2"/>
  <c r="AU5" i="2"/>
  <c r="AU134" i="2" s="1"/>
  <c r="AU6" i="2"/>
  <c r="AP2" i="8" s="1"/>
  <c r="AR81" i="2" l="1"/>
  <c r="AR287" i="2"/>
  <c r="AU13" i="2"/>
  <c r="AU131" i="2" s="1"/>
  <c r="AU152" i="2" s="1"/>
  <c r="AU199" i="2" s="1"/>
  <c r="AU135" i="2"/>
  <c r="AT199" i="2"/>
  <c r="AT214" i="2"/>
  <c r="AU15" i="2"/>
  <c r="AU139" i="2"/>
  <c r="AU14" i="2"/>
  <c r="AU21" i="2" s="1"/>
  <c r="AU53" i="2" s="1"/>
  <c r="AT31" i="2"/>
  <c r="AT32" i="2" s="1"/>
  <c r="AT29" i="2"/>
  <c r="AT56" i="2"/>
  <c r="AT82" i="2" s="1"/>
  <c r="AU20" i="2"/>
  <c r="AU74" i="2"/>
  <c r="J74" i="2" s="1"/>
  <c r="K75" i="2" s="1"/>
  <c r="AS40" i="2"/>
  <c r="AS43" i="2"/>
  <c r="AS48" i="2" s="1"/>
  <c r="AS286" i="2" s="1"/>
  <c r="AU113" i="2"/>
  <c r="AU107" i="2"/>
  <c r="K76" i="2" l="1"/>
  <c r="K85" i="2"/>
  <c r="AT112" i="2"/>
  <c r="AO6" i="8"/>
  <c r="AT239" i="2"/>
  <c r="AO26" i="8"/>
  <c r="AR106" i="2"/>
  <c r="AR109" i="2" s="1"/>
  <c r="AR268" i="2" s="1"/>
  <c r="AM41" i="8" s="1"/>
  <c r="AM5" i="8"/>
  <c r="AU187" i="2"/>
  <c r="AU284" i="2"/>
  <c r="AU295" i="2" s="1"/>
  <c r="AR288" i="2"/>
  <c r="AR83" i="2"/>
  <c r="AR117" i="2"/>
  <c r="AR118" i="2" s="1"/>
  <c r="AR209" i="2" s="1"/>
  <c r="AU60" i="2"/>
  <c r="AU65" i="2" s="1"/>
  <c r="AU194" i="2" s="1"/>
  <c r="AU214" i="2"/>
  <c r="AU172" i="2"/>
  <c r="AU176" i="2" s="1"/>
  <c r="AU173" i="2"/>
  <c r="AU142" i="2"/>
  <c r="AU185" i="2" s="1"/>
  <c r="J139" i="2"/>
  <c r="AT34" i="2"/>
  <c r="AT38" i="2" s="1"/>
  <c r="AT40" i="2" s="1"/>
  <c r="AU17" i="2"/>
  <c r="AU130" i="2" s="1"/>
  <c r="AU46" i="2"/>
  <c r="AU55" i="2"/>
  <c r="AU56" i="2" s="1"/>
  <c r="AU82" i="2" s="1"/>
  <c r="AS50" i="2"/>
  <c r="AS115" i="2"/>
  <c r="AU29" i="2"/>
  <c r="AU31" i="2"/>
  <c r="AU32" i="2" s="1"/>
  <c r="AU22" i="2"/>
  <c r="AU39" i="2" s="1"/>
  <c r="AU59" i="2"/>
  <c r="AU239" i="2" l="1"/>
  <c r="AP26" i="8"/>
  <c r="AR233" i="2"/>
  <c r="AM21" i="8"/>
  <c r="AR206" i="2"/>
  <c r="AM7" i="8"/>
  <c r="AR121" i="2"/>
  <c r="AR84" i="2"/>
  <c r="AM8" i="8" s="1"/>
  <c r="AR125" i="2"/>
  <c r="AU112" i="2"/>
  <c r="AP6" i="8"/>
  <c r="F9" i="8"/>
  <c r="K86" i="2"/>
  <c r="AS81" i="2"/>
  <c r="AS287" i="2"/>
  <c r="AU178" i="2"/>
  <c r="AU124" i="2" s="1"/>
  <c r="AT43" i="2"/>
  <c r="AT48" i="2" s="1"/>
  <c r="AU34" i="2"/>
  <c r="AU38" i="2" s="1"/>
  <c r="AT115" i="2"/>
  <c r="AS83" i="2" l="1"/>
  <c r="AN5" i="8"/>
  <c r="AR230" i="2"/>
  <c r="AM18" i="8"/>
  <c r="AS288" i="2"/>
  <c r="AS106" i="2"/>
  <c r="AS109" i="2" s="1"/>
  <c r="AS268" i="2" s="1"/>
  <c r="AN41" i="8" s="1"/>
  <c r="AT50" i="2"/>
  <c r="AT286" i="2"/>
  <c r="AS117" i="2"/>
  <c r="AS118" i="2" s="1"/>
  <c r="AS209" i="2" s="1"/>
  <c r="AU40" i="2"/>
  <c r="AU43" i="2"/>
  <c r="AU48" i="2" s="1"/>
  <c r="AU286" i="2" s="1"/>
  <c r="AS121" i="2" l="1"/>
  <c r="AN7" i="8"/>
  <c r="AS233" i="2"/>
  <c r="AN21" i="8"/>
  <c r="AS84" i="2"/>
  <c r="AN8" i="8" s="1"/>
  <c r="AS206" i="2"/>
  <c r="J286" i="2"/>
  <c r="AT81" i="2"/>
  <c r="AO5" i="8" s="1"/>
  <c r="AT287" i="2"/>
  <c r="AS125" i="2"/>
  <c r="AU50" i="2"/>
  <c r="AU115" i="2"/>
  <c r="AS230" i="2" l="1"/>
  <c r="AN18" i="8"/>
  <c r="AT288" i="2"/>
  <c r="AU81" i="2"/>
  <c r="AU287" i="2"/>
  <c r="AU288" i="2" s="1"/>
  <c r="AT83" i="2"/>
  <c r="AO7" i="8" s="1"/>
  <c r="AT106" i="2"/>
  <c r="AT109" i="2" s="1"/>
  <c r="AU106" i="2" l="1"/>
  <c r="AU109" i="2" s="1"/>
  <c r="AU268" i="2" s="1"/>
  <c r="AP41" i="8" s="1"/>
  <c r="AP5" i="8"/>
  <c r="AU83" i="2"/>
  <c r="AT268" i="2"/>
  <c r="AO41" i="8" s="1"/>
  <c r="AT117" i="2"/>
  <c r="AT118" i="2" s="1"/>
  <c r="AT206" i="2"/>
  <c r="AT121" i="2"/>
  <c r="AT84" i="2"/>
  <c r="AO8" i="8" s="1"/>
  <c r="J287" i="2"/>
  <c r="AU121" i="2"/>
  <c r="AU84" i="2"/>
  <c r="AP8" i="8" s="1"/>
  <c r="AT230" i="2" l="1"/>
  <c r="AO18" i="8"/>
  <c r="AU117" i="2"/>
  <c r="AU118" i="2" s="1"/>
  <c r="AU206" i="2"/>
  <c r="AP7" i="8"/>
  <c r="AT209" i="2"/>
  <c r="AT125" i="2"/>
  <c r="J81" i="2"/>
  <c r="AT233" i="2" l="1"/>
  <c r="AO21" i="8"/>
  <c r="AU230" i="2"/>
  <c r="J230" i="2" s="1"/>
  <c r="AP18" i="8"/>
  <c r="AU209" i="2"/>
  <c r="AU125" i="2"/>
  <c r="J82" i="2"/>
  <c r="AU233" i="2" l="1"/>
  <c r="AP21" i="8"/>
  <c r="J233" i="2"/>
  <c r="F10" i="8"/>
  <c r="K102" i="2" l="1"/>
  <c r="K234" i="2" s="1"/>
  <c r="J206" i="2"/>
  <c r="J209" i="2"/>
  <c r="AO69" i="2"/>
  <c r="M69" i="2"/>
  <c r="AK69" i="2"/>
  <c r="W69" i="2"/>
  <c r="R69" i="2"/>
  <c r="N69" i="2"/>
  <c r="J83" i="2"/>
  <c r="J84" i="2"/>
  <c r="O69" i="2"/>
  <c r="K87" i="2"/>
  <c r="F11" i="8" s="1"/>
  <c r="AE69" i="2"/>
  <c r="AN69" i="2"/>
  <c r="AC69" i="2"/>
  <c r="K69" i="2"/>
  <c r="AR69" i="2"/>
  <c r="AU69" i="2"/>
  <c r="AJ69" i="2"/>
  <c r="AH69" i="2"/>
  <c r="S69" i="2"/>
  <c r="T69" i="2"/>
  <c r="AQ69" i="2"/>
  <c r="Z69" i="2"/>
  <c r="Q69" i="2"/>
  <c r="AD69" i="2"/>
  <c r="P69" i="2"/>
  <c r="V69" i="2"/>
  <c r="AF69" i="2"/>
  <c r="AG69" i="2"/>
  <c r="U69" i="2"/>
  <c r="AT69" i="2"/>
  <c r="AS69" i="2"/>
  <c r="AA69" i="2"/>
  <c r="Y69" i="2"/>
  <c r="AL69" i="2"/>
  <c r="AP69" i="2"/>
  <c r="AM69" i="2"/>
  <c r="X69" i="2"/>
  <c r="L69" i="2"/>
  <c r="AB69" i="2"/>
  <c r="AI69" i="2"/>
  <c r="O196" i="2"/>
  <c r="AH196" i="2"/>
  <c r="AO196" i="2"/>
  <c r="Q196" i="2"/>
  <c r="AG196" i="2"/>
  <c r="U196" i="2"/>
  <c r="W196" i="2"/>
  <c r="R196" i="2"/>
  <c r="Y196" i="2"/>
  <c r="AI196" i="2"/>
  <c r="AN196" i="2"/>
  <c r="AU196" i="2"/>
  <c r="AE196" i="2"/>
  <c r="L196" i="2"/>
  <c r="AM196" i="2"/>
  <c r="X196" i="2"/>
  <c r="M196" i="2"/>
  <c r="AK196" i="2"/>
  <c r="AQ196" i="2"/>
  <c r="Z196" i="2"/>
  <c r="N196" i="2"/>
  <c r="T196" i="2"/>
  <c r="AD196" i="2"/>
  <c r="AB196" i="2"/>
  <c r="P196" i="2"/>
  <c r="AF196" i="2"/>
  <c r="AA196" i="2"/>
  <c r="AR196" i="2"/>
  <c r="AJ196" i="2"/>
  <c r="AS196" i="2"/>
  <c r="S196" i="2"/>
  <c r="V196" i="2"/>
  <c r="AC196" i="2"/>
  <c r="AT196" i="2"/>
  <c r="AL196" i="2"/>
  <c r="AP196" i="2"/>
  <c r="AU122" i="2" l="1"/>
  <c r="AU207" i="2"/>
  <c r="AP122" i="2"/>
  <c r="AP207" i="2"/>
  <c r="Y122" i="2"/>
  <c r="Y207" i="2"/>
  <c r="AE122" i="2"/>
  <c r="AE207" i="2"/>
  <c r="U122" i="2"/>
  <c r="U207" i="2"/>
  <c r="AF122" i="2"/>
  <c r="AF207" i="2"/>
  <c r="AM122" i="2"/>
  <c r="AM207" i="2"/>
  <c r="AR122" i="2"/>
  <c r="AR207" i="2"/>
  <c r="AN122" i="2"/>
  <c r="AN207" i="2"/>
  <c r="V122" i="2"/>
  <c r="V207" i="2"/>
  <c r="P122" i="2"/>
  <c r="P207" i="2"/>
  <c r="AK122" i="2"/>
  <c r="AK207" i="2"/>
  <c r="K122" i="2"/>
  <c r="K207" i="2"/>
  <c r="AG122" i="2"/>
  <c r="AG207" i="2"/>
  <c r="W122" i="2"/>
  <c r="W207" i="2"/>
  <c r="M122" i="2"/>
  <c r="M207" i="2"/>
  <c r="AB122" i="2"/>
  <c r="AB207" i="2"/>
  <c r="AL122" i="2"/>
  <c r="AL207" i="2"/>
  <c r="AA122" i="2"/>
  <c r="AA207" i="2"/>
  <c r="AS122" i="2"/>
  <c r="AS207" i="2"/>
  <c r="AT122" i="2"/>
  <c r="AT207" i="2"/>
  <c r="R122" i="2"/>
  <c r="R207" i="2"/>
  <c r="Q122" i="2"/>
  <c r="Q207" i="2"/>
  <c r="AO122" i="2"/>
  <c r="AO207" i="2"/>
  <c r="AI122" i="2"/>
  <c r="AI207" i="2"/>
  <c r="S122" i="2"/>
  <c r="S207" i="2"/>
  <c r="L122" i="2"/>
  <c r="L207" i="2"/>
  <c r="AH122" i="2"/>
  <c r="AH207" i="2"/>
  <c r="AC122" i="2"/>
  <c r="AC207" i="2"/>
  <c r="O122" i="2"/>
  <c r="O207" i="2"/>
  <c r="N122" i="2"/>
  <c r="N207" i="2"/>
  <c r="AD122" i="2"/>
  <c r="AD207" i="2"/>
  <c r="Z122" i="2"/>
  <c r="Z207" i="2"/>
  <c r="AQ122" i="2"/>
  <c r="AQ207" i="2"/>
  <c r="T122" i="2"/>
  <c r="T207" i="2"/>
  <c r="X122" i="2"/>
  <c r="X207" i="2"/>
  <c r="AJ122" i="2"/>
  <c r="AJ207" i="2"/>
  <c r="AH200" i="2"/>
  <c r="Q200" i="2"/>
  <c r="R200" i="2"/>
  <c r="AI200" i="2"/>
  <c r="AG200" i="2"/>
  <c r="AN200" i="2"/>
  <c r="AO200" i="2"/>
  <c r="Y200" i="2"/>
  <c r="U200" i="2"/>
  <c r="W200" i="2"/>
  <c r="O200" i="2"/>
  <c r="AS231" i="2" l="1"/>
  <c r="AN19" i="8"/>
  <c r="AA231" i="2"/>
  <c r="V19" i="8"/>
  <c r="AL231" i="2"/>
  <c r="AG19" i="8"/>
  <c r="AJ231" i="2"/>
  <c r="AE19" i="8"/>
  <c r="AB231" i="2"/>
  <c r="W19" i="8"/>
  <c r="X231" i="2"/>
  <c r="S19" i="8"/>
  <c r="M231" i="2"/>
  <c r="H19" i="8"/>
  <c r="T231" i="2"/>
  <c r="O19" i="8"/>
  <c r="W231" i="2"/>
  <c r="R19" i="8"/>
  <c r="AQ231" i="2"/>
  <c r="AL19" i="8"/>
  <c r="AG231" i="2"/>
  <c r="AB19" i="8"/>
  <c r="Z231" i="2"/>
  <c r="U19" i="8"/>
  <c r="Y231" i="2"/>
  <c r="T19" i="8"/>
  <c r="AK231" i="2"/>
  <c r="AF19" i="8"/>
  <c r="AT231" i="2"/>
  <c r="AO19" i="8"/>
  <c r="P231" i="2"/>
  <c r="K19" i="8"/>
  <c r="AU231" i="2"/>
  <c r="AP19" i="8"/>
  <c r="O231" i="2"/>
  <c r="J19" i="8"/>
  <c r="V231" i="2"/>
  <c r="Q19" i="8"/>
  <c r="AC231" i="2"/>
  <c r="X19" i="8"/>
  <c r="AN231" i="2"/>
  <c r="AI19" i="8"/>
  <c r="AH231" i="2"/>
  <c r="AC19" i="8"/>
  <c r="AR231" i="2"/>
  <c r="AM19" i="8"/>
  <c r="L231" i="2"/>
  <c r="G19" i="8"/>
  <c r="AM231" i="2"/>
  <c r="AH19" i="8"/>
  <c r="S231" i="2"/>
  <c r="N19" i="8"/>
  <c r="AF231" i="2"/>
  <c r="AA19" i="8"/>
  <c r="AI231" i="2"/>
  <c r="AD19" i="8"/>
  <c r="U231" i="2"/>
  <c r="P19" i="8"/>
  <c r="AO231" i="2"/>
  <c r="AJ19" i="8"/>
  <c r="AE231" i="2"/>
  <c r="Z19" i="8"/>
  <c r="Q231" i="2"/>
  <c r="L19" i="8"/>
  <c r="K231" i="2"/>
  <c r="F19" i="8"/>
  <c r="AD231" i="2"/>
  <c r="Y19" i="8"/>
  <c r="R231" i="2"/>
  <c r="M19" i="8"/>
  <c r="AP231" i="2"/>
  <c r="AK19" i="8"/>
  <c r="N231" i="2"/>
  <c r="I19" i="8"/>
  <c r="O213" i="2"/>
  <c r="W213" i="2"/>
  <c r="Y213" i="2"/>
  <c r="AN213" i="2"/>
  <c r="AG213" i="2"/>
  <c r="AI213" i="2"/>
  <c r="R213" i="2"/>
  <c r="Q213" i="2"/>
  <c r="AH213" i="2"/>
  <c r="U213" i="2"/>
  <c r="AO213" i="2"/>
  <c r="J207" i="2"/>
  <c r="O201" i="2"/>
  <c r="O256" i="2"/>
  <c r="W201" i="2"/>
  <c r="W256" i="2"/>
  <c r="Q201" i="2"/>
  <c r="Q256" i="2"/>
  <c r="U201" i="2"/>
  <c r="U256" i="2"/>
  <c r="R201" i="2"/>
  <c r="R256" i="2"/>
  <c r="AN201" i="2"/>
  <c r="AN256" i="2"/>
  <c r="AH201" i="2"/>
  <c r="AH256" i="2"/>
  <c r="Y201" i="2"/>
  <c r="Y256" i="2"/>
  <c r="AG201" i="2"/>
  <c r="AG256" i="2"/>
  <c r="AO201" i="2"/>
  <c r="AO256" i="2"/>
  <c r="AI201" i="2"/>
  <c r="AI256" i="2"/>
  <c r="AB200" i="2"/>
  <c r="AE200" i="2"/>
  <c r="AL200" i="2"/>
  <c r="AC200" i="2"/>
  <c r="M200" i="2"/>
  <c r="AM200" i="2"/>
  <c r="AQ200" i="2"/>
  <c r="P200" i="2"/>
  <c r="AF200" i="2"/>
  <c r="AK200" i="2"/>
  <c r="AD200" i="2"/>
  <c r="L200" i="2"/>
  <c r="N200" i="2"/>
  <c r="S200" i="2"/>
  <c r="V200" i="2"/>
  <c r="AT200" i="2"/>
  <c r="AP200" i="2"/>
  <c r="AR200" i="2"/>
  <c r="T200" i="2"/>
  <c r="AU200" i="2"/>
  <c r="AA200" i="2"/>
  <c r="Z200" i="2"/>
  <c r="AJ200" i="2"/>
  <c r="AS200" i="2"/>
  <c r="X200" i="2"/>
  <c r="J231" i="2" l="1"/>
  <c r="AG248" i="2"/>
  <c r="AB25" i="8"/>
  <c r="Y248" i="2"/>
  <c r="T25" i="8"/>
  <c r="AN248" i="2"/>
  <c r="AI25" i="8"/>
  <c r="W248" i="2"/>
  <c r="R25" i="8"/>
  <c r="O248" i="2"/>
  <c r="J25" i="8"/>
  <c r="AO248" i="2"/>
  <c r="AJ25" i="8"/>
  <c r="U248" i="2"/>
  <c r="P25" i="8"/>
  <c r="AH248" i="2"/>
  <c r="AC25" i="8"/>
  <c r="Q248" i="2"/>
  <c r="L25" i="8"/>
  <c r="R248" i="2"/>
  <c r="M25" i="8"/>
  <c r="AI248" i="2"/>
  <c r="AD25" i="8"/>
  <c r="S213" i="2"/>
  <c r="N213" i="2"/>
  <c r="AD213" i="2"/>
  <c r="AF213" i="2"/>
  <c r="P213" i="2"/>
  <c r="AQ213" i="2"/>
  <c r="AM213" i="2"/>
  <c r="M213" i="2"/>
  <c r="AC213" i="2"/>
  <c r="AL213" i="2"/>
  <c r="AA213" i="2"/>
  <c r="AU213" i="2"/>
  <c r="AB213" i="2"/>
  <c r="T213" i="2"/>
  <c r="AT213" i="2"/>
  <c r="L213" i="2"/>
  <c r="AK213" i="2"/>
  <c r="X213" i="2"/>
  <c r="AS213" i="2"/>
  <c r="AJ213" i="2"/>
  <c r="Z213" i="2"/>
  <c r="AE213" i="2"/>
  <c r="AR213" i="2"/>
  <c r="AP213" i="2"/>
  <c r="V213" i="2"/>
  <c r="K160" i="2"/>
  <c r="K153" i="2" s="1"/>
  <c r="K165" i="2" s="1"/>
  <c r="AA201" i="2"/>
  <c r="AA256" i="2"/>
  <c r="X201" i="2"/>
  <c r="X256" i="2"/>
  <c r="P201" i="2"/>
  <c r="P256" i="2"/>
  <c r="V201" i="2"/>
  <c r="V256" i="2"/>
  <c r="M201" i="2"/>
  <c r="M256" i="2"/>
  <c r="AQ201" i="2"/>
  <c r="AQ256" i="2"/>
  <c r="L201" i="2"/>
  <c r="L256" i="2"/>
  <c r="AD201" i="2"/>
  <c r="AD256" i="2"/>
  <c r="T201" i="2"/>
  <c r="T256" i="2"/>
  <c r="AB201" i="2"/>
  <c r="AB256" i="2"/>
  <c r="AR201" i="2"/>
  <c r="AR256" i="2"/>
  <c r="AL201" i="2"/>
  <c r="AL256" i="2"/>
  <c r="AK201" i="2"/>
  <c r="AK256" i="2"/>
  <c r="AE201" i="2"/>
  <c r="AE256" i="2"/>
  <c r="AJ201" i="2"/>
  <c r="AJ256" i="2"/>
  <c r="AS201" i="2"/>
  <c r="AS256" i="2"/>
  <c r="Z201" i="2"/>
  <c r="Z256" i="2"/>
  <c r="AF201" i="2"/>
  <c r="AF256" i="2"/>
  <c r="AC201" i="2"/>
  <c r="AC256" i="2"/>
  <c r="AT201" i="2"/>
  <c r="AT256" i="2"/>
  <c r="S201" i="2"/>
  <c r="S256" i="2"/>
  <c r="N201" i="2"/>
  <c r="N256" i="2"/>
  <c r="AP201" i="2"/>
  <c r="AP256" i="2"/>
  <c r="AU201" i="2"/>
  <c r="AU256" i="2"/>
  <c r="AM201" i="2"/>
  <c r="AM256" i="2"/>
  <c r="AB248" i="2" l="1"/>
  <c r="W25" i="8"/>
  <c r="AU248" i="2"/>
  <c r="AP25" i="8"/>
  <c r="AF248" i="2"/>
  <c r="AA25" i="8"/>
  <c r="AD248" i="2"/>
  <c r="Y25" i="8"/>
  <c r="X248" i="2"/>
  <c r="S25" i="8"/>
  <c r="AK248" i="2"/>
  <c r="AF25" i="8"/>
  <c r="L248" i="2"/>
  <c r="G25" i="8"/>
  <c r="AT248" i="2"/>
  <c r="AO25" i="8"/>
  <c r="T248" i="2"/>
  <c r="O25" i="8"/>
  <c r="AC248" i="2"/>
  <c r="X25" i="8"/>
  <c r="AM248" i="2"/>
  <c r="AH25" i="8"/>
  <c r="V248" i="2"/>
  <c r="Q25" i="8"/>
  <c r="AR248" i="2"/>
  <c r="AM25" i="8"/>
  <c r="AA248" i="2"/>
  <c r="V25" i="8"/>
  <c r="AL248" i="2"/>
  <c r="AG25" i="8"/>
  <c r="M248" i="2"/>
  <c r="H25" i="8"/>
  <c r="AQ248" i="2"/>
  <c r="AL25" i="8"/>
  <c r="P248" i="2"/>
  <c r="K25" i="8"/>
  <c r="AP248" i="2"/>
  <c r="AK25" i="8"/>
  <c r="AE248" i="2"/>
  <c r="Z25" i="8"/>
  <c r="N248" i="2"/>
  <c r="I25" i="8"/>
  <c r="Z248" i="2"/>
  <c r="U25" i="8"/>
  <c r="S248" i="2"/>
  <c r="N25" i="8"/>
  <c r="AJ248" i="2"/>
  <c r="AE25" i="8"/>
  <c r="AS248" i="2"/>
  <c r="AN25" i="8"/>
  <c r="K161" i="2"/>
  <c r="J122" i="2"/>
  <c r="K66" i="2" l="1"/>
  <c r="K67" i="2" s="1"/>
  <c r="K215" i="2"/>
  <c r="K162" i="2"/>
  <c r="K88" i="2" s="1"/>
  <c r="F12" i="8" s="1"/>
  <c r="J121" i="2"/>
  <c r="J118" i="2"/>
  <c r="K241" i="2" l="1"/>
  <c r="F27" i="8"/>
  <c r="K70" i="2"/>
  <c r="K123" i="2" s="1"/>
  <c r="K78" i="2"/>
  <c r="K269" i="2" s="1"/>
  <c r="F42" i="8" s="1"/>
  <c r="L64" i="2"/>
  <c r="K216" i="2"/>
  <c r="F28" i="8" s="1"/>
  <c r="K166" i="2"/>
  <c r="L75" i="2"/>
  <c r="L85" i="2" s="1"/>
  <c r="J125" i="2"/>
  <c r="K239" i="2"/>
  <c r="G9" i="8" l="1"/>
  <c r="L86" i="2"/>
  <c r="K208" i="2"/>
  <c r="K195" i="2"/>
  <c r="K196" i="2" s="1"/>
  <c r="K200" i="2" s="1"/>
  <c r="K213" i="2" s="1"/>
  <c r="K167" i="2"/>
  <c r="G10" i="8"/>
  <c r="L76" i="2"/>
  <c r="J239" i="2"/>
  <c r="J214" i="2"/>
  <c r="K232" i="2" l="1"/>
  <c r="F20" i="8"/>
  <c r="K248" i="2"/>
  <c r="J248" i="2" s="1"/>
  <c r="F25" i="8"/>
  <c r="L102" i="2"/>
  <c r="L234" i="2" s="1"/>
  <c r="K256" i="2"/>
  <c r="J213" i="2"/>
  <c r="K201" i="2"/>
  <c r="E199" i="2" s="1"/>
  <c r="E200" i="2" s="1"/>
  <c r="K175" i="2"/>
  <c r="L87" i="2"/>
  <c r="G11" i="8" s="1"/>
  <c r="K257" i="2" l="1"/>
  <c r="J256" i="2"/>
  <c r="K235" i="2"/>
  <c r="L255" i="2" l="1"/>
  <c r="L257" i="2" s="1"/>
  <c r="K277" i="2"/>
  <c r="F50" i="8" s="1"/>
  <c r="M255" i="2" l="1"/>
  <c r="M257" i="2" s="1"/>
  <c r="L277" i="2"/>
  <c r="G50" i="8" s="1"/>
  <c r="N255" i="2" l="1"/>
  <c r="N257" i="2" s="1"/>
  <c r="M277" i="2"/>
  <c r="H50" i="8" s="1"/>
  <c r="O255" i="2" l="1"/>
  <c r="O257" i="2" s="1"/>
  <c r="N277" i="2"/>
  <c r="I50" i="8" s="1"/>
  <c r="P255" i="2" l="1"/>
  <c r="P257" i="2" s="1"/>
  <c r="O277" i="2"/>
  <c r="J50" i="8" s="1"/>
  <c r="Q255" i="2" l="1"/>
  <c r="Q257" i="2" s="1"/>
  <c r="P277" i="2"/>
  <c r="K50" i="8" s="1"/>
  <c r="R255" i="2" l="1"/>
  <c r="R257" i="2" s="1"/>
  <c r="Q277" i="2"/>
  <c r="L50" i="8" s="1"/>
  <c r="S255" i="2" l="1"/>
  <c r="S257" i="2" s="1"/>
  <c r="R277" i="2"/>
  <c r="M50" i="8" s="1"/>
  <c r="T255" i="2" l="1"/>
  <c r="T257" i="2" s="1"/>
  <c r="S277" i="2"/>
  <c r="N50" i="8" s="1"/>
  <c r="U255" i="2" l="1"/>
  <c r="U257" i="2" s="1"/>
  <c r="T277" i="2"/>
  <c r="O50" i="8" s="1"/>
  <c r="V255" i="2" l="1"/>
  <c r="V257" i="2" s="1"/>
  <c r="U277" i="2"/>
  <c r="P50" i="8" s="1"/>
  <c r="W255" i="2" l="1"/>
  <c r="W257" i="2" s="1"/>
  <c r="V277" i="2"/>
  <c r="Q50" i="8" s="1"/>
  <c r="X255" i="2" l="1"/>
  <c r="X257" i="2" s="1"/>
  <c r="W277" i="2"/>
  <c r="R50" i="8" s="1"/>
  <c r="Y255" i="2" l="1"/>
  <c r="Y257" i="2" s="1"/>
  <c r="X277" i="2"/>
  <c r="S50" i="8" s="1"/>
  <c r="Z255" i="2" l="1"/>
  <c r="Z257" i="2" s="1"/>
  <c r="Y277" i="2"/>
  <c r="T50" i="8" s="1"/>
  <c r="AA255" i="2" l="1"/>
  <c r="AA257" i="2" s="1"/>
  <c r="Z277" i="2"/>
  <c r="U50" i="8" s="1"/>
  <c r="AB255" i="2" l="1"/>
  <c r="AB257" i="2" s="1"/>
  <c r="AA277" i="2"/>
  <c r="V50" i="8" s="1"/>
  <c r="AC255" i="2" l="1"/>
  <c r="AC257" i="2" s="1"/>
  <c r="AB277" i="2"/>
  <c r="W50" i="8" s="1"/>
  <c r="AD255" i="2" l="1"/>
  <c r="AD257" i="2" s="1"/>
  <c r="AC277" i="2"/>
  <c r="X50" i="8" s="1"/>
  <c r="AE255" i="2" l="1"/>
  <c r="AE257" i="2" s="1"/>
  <c r="AD277" i="2"/>
  <c r="Y50" i="8" s="1"/>
  <c r="AF255" i="2" l="1"/>
  <c r="AF257" i="2" s="1"/>
  <c r="AE277" i="2"/>
  <c r="Z50" i="8" s="1"/>
  <c r="AG255" i="2" l="1"/>
  <c r="AG257" i="2" s="1"/>
  <c r="AF277" i="2"/>
  <c r="AA50" i="8" s="1"/>
  <c r="AH255" i="2" l="1"/>
  <c r="AH257" i="2" s="1"/>
  <c r="AG277" i="2"/>
  <c r="AB50" i="8" s="1"/>
  <c r="AI255" i="2" l="1"/>
  <c r="AI257" i="2" s="1"/>
  <c r="AH277" i="2"/>
  <c r="AC50" i="8" s="1"/>
  <c r="AJ255" i="2" l="1"/>
  <c r="AJ257" i="2" s="1"/>
  <c r="AI277" i="2"/>
  <c r="AD50" i="8" s="1"/>
  <c r="AJ277" i="2" l="1"/>
  <c r="AE50" i="8" s="1"/>
  <c r="AK255" i="2"/>
  <c r="AK257" i="2" s="1"/>
  <c r="AL255" i="2" l="1"/>
  <c r="AL257" i="2" s="1"/>
  <c r="AK277" i="2"/>
  <c r="AF50" i="8" s="1"/>
  <c r="AM255" i="2" l="1"/>
  <c r="AM257" i="2" s="1"/>
  <c r="AL277" i="2"/>
  <c r="AG50" i="8" s="1"/>
  <c r="AM277" i="2" l="1"/>
  <c r="AH50" i="8" s="1"/>
  <c r="AN255" i="2"/>
  <c r="AN257" i="2" s="1"/>
  <c r="AO255" i="2" l="1"/>
  <c r="AO257" i="2" s="1"/>
  <c r="AN277" i="2"/>
  <c r="AI50" i="8" s="1"/>
  <c r="AP255" i="2" l="1"/>
  <c r="AP257" i="2" s="1"/>
  <c r="AO277" i="2"/>
  <c r="AJ50" i="8" s="1"/>
  <c r="AQ255" i="2" l="1"/>
  <c r="AQ257" i="2" s="1"/>
  <c r="AP277" i="2"/>
  <c r="AK50" i="8" s="1"/>
  <c r="AR255" i="2" l="1"/>
  <c r="AR257" i="2" s="1"/>
  <c r="AQ277" i="2"/>
  <c r="AL50" i="8" s="1"/>
  <c r="AS255" i="2" l="1"/>
  <c r="AS257" i="2" s="1"/>
  <c r="AR277" i="2"/>
  <c r="AM50" i="8" s="1"/>
  <c r="K240" i="2"/>
  <c r="AT255" i="2" l="1"/>
  <c r="AT257" i="2" s="1"/>
  <c r="AS277" i="2"/>
  <c r="AN50" i="8" s="1"/>
  <c r="K89" i="2"/>
  <c r="AU255" i="2" l="1"/>
  <c r="AU257" i="2" s="1"/>
  <c r="AU277" i="2" s="1"/>
  <c r="AP50" i="8" s="1"/>
  <c r="AT277" i="2"/>
  <c r="AO50" i="8" s="1"/>
  <c r="K93" i="2"/>
  <c r="F13" i="8"/>
  <c r="K94" i="2"/>
  <c r="K96" i="2" l="1"/>
  <c r="K95" i="2"/>
  <c r="L92" i="2" s="1"/>
  <c r="K98" i="2" l="1"/>
  <c r="K126" i="2" l="1"/>
  <c r="K210" i="2"/>
  <c r="K99" i="2"/>
  <c r="F14" i="8"/>
  <c r="F15" i="8" l="1"/>
  <c r="K100" i="2"/>
  <c r="K261" i="2"/>
  <c r="F22" i="8"/>
  <c r="K211" i="2"/>
  <c r="F23" i="8" l="1"/>
  <c r="K217" i="2"/>
  <c r="K149" i="2" l="1"/>
  <c r="K154" i="2" s="1"/>
  <c r="F29" i="8"/>
  <c r="K155" i="2" l="1"/>
  <c r="K219" i="2"/>
  <c r="F31" i="8" l="1"/>
  <c r="K242" i="2"/>
  <c r="K220" i="2"/>
  <c r="K156" i="2"/>
  <c r="F32" i="8" l="1"/>
  <c r="K243" i="2"/>
  <c r="K273" i="2"/>
  <c r="L151" i="2"/>
  <c r="L160" i="2" s="1"/>
  <c r="K221" i="2"/>
  <c r="K244" i="2"/>
  <c r="L161" i="2"/>
  <c r="L153" i="2"/>
  <c r="L162" i="2"/>
  <c r="F33" i="8" l="1"/>
  <c r="K223" i="2"/>
  <c r="K224" i="2"/>
  <c r="K274" i="2"/>
  <c r="F47" i="8" s="1"/>
  <c r="F46" i="8"/>
  <c r="L215" i="2"/>
  <c r="L165" i="2"/>
  <c r="L166" i="2"/>
  <c r="L216" i="2"/>
  <c r="L88" i="2"/>
  <c r="L66" i="2"/>
  <c r="K267" i="2" l="1"/>
  <c r="L204" i="2"/>
  <c r="K227" i="2"/>
  <c r="F36" i="8" s="1"/>
  <c r="K225" i="2"/>
  <c r="F35" i="8"/>
  <c r="K249" i="2"/>
  <c r="K250" i="2" s="1"/>
  <c r="K262" i="2"/>
  <c r="L70" i="2"/>
  <c r="L67" i="2"/>
  <c r="G12" i="8"/>
  <c r="L89" i="2"/>
  <c r="G28" i="8"/>
  <c r="L240" i="2"/>
  <c r="L167" i="2"/>
  <c r="L241" i="2"/>
  <c r="G27" i="8"/>
  <c r="K263" i="2" l="1"/>
  <c r="F40" i="8"/>
  <c r="K270" i="2"/>
  <c r="L175" i="2"/>
  <c r="K176" i="2" s="1"/>
  <c r="L93" i="2"/>
  <c r="G13" i="8"/>
  <c r="L94" i="2"/>
  <c r="L78" i="2"/>
  <c r="L269" i="2" s="1"/>
  <c r="G42" i="8" s="1"/>
  <c r="M64" i="2"/>
  <c r="L195" i="2"/>
  <c r="L123" i="2"/>
  <c r="L208" i="2"/>
  <c r="L260" i="2" l="1"/>
  <c r="K278" i="2"/>
  <c r="L96" i="2"/>
  <c r="F43" i="8"/>
  <c r="G20" i="8"/>
  <c r="L232" i="2"/>
  <c r="L95" i="2"/>
  <c r="M92" i="2" s="1"/>
  <c r="M75" i="2"/>
  <c r="K178" i="2"/>
  <c r="K124" i="2" s="1"/>
  <c r="L98" i="2" l="1"/>
  <c r="F51" i="8"/>
  <c r="K279" i="2"/>
  <c r="M85" i="2"/>
  <c r="M76" i="2"/>
  <c r="K127" i="2"/>
  <c r="L235" i="2"/>
  <c r="F52" i="8" l="1"/>
  <c r="F54" i="8" s="1"/>
  <c r="K281" i="2"/>
  <c r="L210" i="2"/>
  <c r="G14" i="8"/>
  <c r="L126" i="2"/>
  <c r="L99" i="2"/>
  <c r="K290" i="2"/>
  <c r="K143" i="2"/>
  <c r="M86" i="2"/>
  <c r="H9" i="8"/>
  <c r="L261" i="2" l="1"/>
  <c r="G15" i="8"/>
  <c r="L100" i="2"/>
  <c r="L211" i="2"/>
  <c r="G22" i="8"/>
  <c r="M87" i="2"/>
  <c r="H10" i="8"/>
  <c r="M102" i="2"/>
  <c r="K291" i="2"/>
  <c r="K297" i="2" s="1"/>
  <c r="K184" i="2"/>
  <c r="K188" i="2" s="1"/>
  <c r="K144" i="2"/>
  <c r="K145" i="2" s="1"/>
  <c r="K168" i="2"/>
  <c r="G23" i="8" l="1"/>
  <c r="L217" i="2"/>
  <c r="K169" i="2"/>
  <c r="K292" i="2"/>
  <c r="K298" i="2" s="1"/>
  <c r="M234" i="2"/>
  <c r="H11" i="8"/>
  <c r="L149" i="2" l="1"/>
  <c r="L154" i="2" s="1"/>
  <c r="G29" i="8"/>
  <c r="L219" i="2" l="1"/>
  <c r="L155" i="2"/>
  <c r="L220" i="2" s="1"/>
  <c r="L156" i="2"/>
  <c r="L273" i="2" l="1"/>
  <c r="M151" i="2"/>
  <c r="M160" i="2" s="1"/>
  <c r="G32" i="8"/>
  <c r="L243" i="2"/>
  <c r="L242" i="2"/>
  <c r="L244" i="2" s="1"/>
  <c r="L221" i="2"/>
  <c r="G31" i="8"/>
  <c r="L223" i="2" l="1"/>
  <c r="L224" i="2"/>
  <c r="G33" i="8"/>
  <c r="M161" i="2"/>
  <c r="M153" i="2"/>
  <c r="G46" i="8"/>
  <c r="L274" i="2"/>
  <c r="G47" i="8" s="1"/>
  <c r="M215" i="2" l="1"/>
  <c r="M165" i="2"/>
  <c r="M66" i="2"/>
  <c r="M162" i="2"/>
  <c r="L227" i="2"/>
  <c r="G36" i="8" s="1"/>
  <c r="L267" i="2"/>
  <c r="L225" i="2"/>
  <c r="M204" i="2"/>
  <c r="L249" i="2"/>
  <c r="L250" i="2" s="1"/>
  <c r="G35" i="8"/>
  <c r="L262" i="2"/>
  <c r="L263" i="2" l="1"/>
  <c r="G40" i="8"/>
  <c r="L270" i="2"/>
  <c r="M88" i="2"/>
  <c r="H12" i="8" s="1"/>
  <c r="M166" i="2"/>
  <c r="M167" i="2" s="1"/>
  <c r="M216" i="2"/>
  <c r="M70" i="2"/>
  <c r="M67" i="2"/>
  <c r="M241" i="2"/>
  <c r="H27" i="8"/>
  <c r="M175" i="2"/>
  <c r="L176" i="2" s="1"/>
  <c r="N64" i="2" l="1"/>
  <c r="N75" i="2" s="1"/>
  <c r="M78" i="2"/>
  <c r="M269" i="2" s="1"/>
  <c r="H42" i="8" s="1"/>
  <c r="M195" i="2"/>
  <c r="M123" i="2"/>
  <c r="M208" i="2"/>
  <c r="M240" i="2"/>
  <c r="H28" i="8"/>
  <c r="G43" i="8"/>
  <c r="L278" i="2"/>
  <c r="M260" i="2"/>
  <c r="N85" i="2"/>
  <c r="N76" i="2"/>
  <c r="L178" i="2"/>
  <c r="L124" i="2" s="1"/>
  <c r="E176" i="2" a="1"/>
  <c r="E176" i="2" s="1"/>
  <c r="L279" i="2" l="1"/>
  <c r="G51" i="8"/>
  <c r="H20" i="8"/>
  <c r="M232" i="2"/>
  <c r="M235" i="2" s="1"/>
  <c r="L127" i="2"/>
  <c r="I9" i="8"/>
  <c r="N86" i="2"/>
  <c r="G52" i="8" l="1"/>
  <c r="G54" i="8" s="1"/>
  <c r="L281" i="2"/>
  <c r="N87" i="2"/>
  <c r="N102" i="2"/>
  <c r="I10" i="8"/>
  <c r="L143" i="2"/>
  <c r="L290" i="2"/>
  <c r="L291" i="2" l="1"/>
  <c r="L297" i="2" s="1"/>
  <c r="N234" i="2"/>
  <c r="L168" i="2"/>
  <c r="L184" i="2"/>
  <c r="L188" i="2" s="1"/>
  <c r="L144" i="2"/>
  <c r="L145" i="2" s="1"/>
  <c r="I11" i="8"/>
  <c r="L292" i="2" l="1"/>
  <c r="L298" i="2" s="1"/>
  <c r="L169" i="2"/>
  <c r="M89" i="2"/>
  <c r="M94" i="2" l="1"/>
  <c r="M96" i="2"/>
  <c r="M93" i="2"/>
  <c r="H13" i="8"/>
  <c r="M95" i="2" l="1"/>
  <c r="N92" i="2" s="1"/>
  <c r="M98" i="2"/>
  <c r="M126" i="2" l="1"/>
  <c r="H14" i="8"/>
  <c r="M99" i="2"/>
  <c r="M210" i="2"/>
  <c r="H22" i="8" l="1"/>
  <c r="M211" i="2"/>
  <c r="M100" i="2"/>
  <c r="H15" i="8"/>
  <c r="M261" i="2"/>
  <c r="H23" i="8" l="1"/>
  <c r="M217" i="2"/>
  <c r="M149" i="2" l="1"/>
  <c r="M154" i="2" s="1"/>
  <c r="H29" i="8"/>
  <c r="M155" i="2" l="1"/>
  <c r="M219" i="2"/>
  <c r="H31" i="8" l="1"/>
  <c r="M242" i="2"/>
  <c r="M220" i="2"/>
  <c r="M156" i="2"/>
  <c r="M273" i="2" l="1"/>
  <c r="N151" i="2"/>
  <c r="N160" i="2" s="1"/>
  <c r="M243" i="2"/>
  <c r="H32" i="8"/>
  <c r="M221" i="2"/>
  <c r="M244" i="2"/>
  <c r="N153" i="2"/>
  <c r="N161" i="2"/>
  <c r="M223" i="2" l="1"/>
  <c r="H33" i="8"/>
  <c r="M224" i="2"/>
  <c r="H46" i="8"/>
  <c r="M274" i="2"/>
  <c r="H47" i="8" s="1"/>
  <c r="N66" i="2"/>
  <c r="N162" i="2"/>
  <c r="N215" i="2"/>
  <c r="N165" i="2"/>
  <c r="M267" i="2" l="1"/>
  <c r="M227" i="2"/>
  <c r="H36" i="8" s="1"/>
  <c r="N204" i="2"/>
  <c r="M225" i="2"/>
  <c r="H35" i="8"/>
  <c r="M262" i="2"/>
  <c r="M249" i="2"/>
  <c r="M250" i="2" s="1"/>
  <c r="N241" i="2"/>
  <c r="I27" i="8"/>
  <c r="N88" i="2"/>
  <c r="N166" i="2"/>
  <c r="N216" i="2"/>
  <c r="N70" i="2"/>
  <c r="N67" i="2"/>
  <c r="M263" i="2" l="1"/>
  <c r="H40" i="8"/>
  <c r="M270" i="2"/>
  <c r="N78" i="2"/>
  <c r="N269" i="2" s="1"/>
  <c r="I42" i="8" s="1"/>
  <c r="O64" i="2"/>
  <c r="I12" i="8"/>
  <c r="N89" i="2"/>
  <c r="N195" i="2"/>
  <c r="N208" i="2"/>
  <c r="N123" i="2"/>
  <c r="I28" i="8"/>
  <c r="N240" i="2"/>
  <c r="N167" i="2"/>
  <c r="H43" i="8" l="1"/>
  <c r="M278" i="2"/>
  <c r="N260" i="2"/>
  <c r="N175" i="2"/>
  <c r="M176" i="2" s="1"/>
  <c r="M178" i="2" s="1"/>
  <c r="M124" i="2" s="1"/>
  <c r="I20" i="8"/>
  <c r="N232" i="2"/>
  <c r="N94" i="2"/>
  <c r="I13" i="8"/>
  <c r="N93" i="2"/>
  <c r="N95" i="2" s="1"/>
  <c r="O92" i="2" s="1"/>
  <c r="O75" i="2"/>
  <c r="N96" i="2" l="1"/>
  <c r="M279" i="2"/>
  <c r="H51" i="8"/>
  <c r="N235" i="2"/>
  <c r="O76" i="2"/>
  <c r="O85" i="2"/>
  <c r="M127" i="2"/>
  <c r="H52" i="8" l="1"/>
  <c r="H54" i="8" s="1"/>
  <c r="M281" i="2"/>
  <c r="N98" i="2"/>
  <c r="J9" i="8"/>
  <c r="O86" i="2"/>
  <c r="M290" i="2"/>
  <c r="M143" i="2"/>
  <c r="N210" i="2" l="1"/>
  <c r="I14" i="8"/>
  <c r="N126" i="2"/>
  <c r="N99" i="2"/>
  <c r="O102" i="2"/>
  <c r="O87" i="2"/>
  <c r="J10" i="8"/>
  <c r="M144" i="2"/>
  <c r="M145" i="2" s="1"/>
  <c r="M184" i="2"/>
  <c r="M188" i="2" s="1"/>
  <c r="M168" i="2"/>
  <c r="M291" i="2"/>
  <c r="M297" i="2" s="1"/>
  <c r="N261" i="2" l="1"/>
  <c r="N100" i="2"/>
  <c r="I15" i="8"/>
  <c r="I22" i="8"/>
  <c r="N211" i="2"/>
  <c r="M292" i="2"/>
  <c r="M298" i="2" s="1"/>
  <c r="M169" i="2"/>
  <c r="O234" i="2"/>
  <c r="J11" i="8"/>
  <c r="N217" i="2" l="1"/>
  <c r="I23" i="8"/>
  <c r="I29" i="8" l="1"/>
  <c r="N149" i="2"/>
  <c r="N154" i="2" s="1"/>
  <c r="N219" i="2" l="1"/>
  <c r="N155" i="2"/>
  <c r="N220" i="2" l="1"/>
  <c r="N156" i="2"/>
  <c r="N242" i="2"/>
  <c r="I31" i="8"/>
  <c r="N221" i="2"/>
  <c r="I33" i="8" l="1"/>
  <c r="N223" i="2"/>
  <c r="O151" i="2"/>
  <c r="O160" i="2" s="1"/>
  <c r="N273" i="2"/>
  <c r="N243" i="2"/>
  <c r="N244" i="2" s="1"/>
  <c r="I32" i="8"/>
  <c r="O153" i="2"/>
  <c r="O161" i="2"/>
  <c r="I46" i="8" l="1"/>
  <c r="N274" i="2"/>
  <c r="I47" i="8" s="1"/>
  <c r="N224" i="2"/>
  <c r="N249" i="2"/>
  <c r="N250" i="2" s="1"/>
  <c r="N262" i="2"/>
  <c r="I35" i="8"/>
  <c r="O165" i="2"/>
  <c r="O215" i="2"/>
  <c r="O66" i="2"/>
  <c r="O162" i="2"/>
  <c r="N263" i="2" l="1"/>
  <c r="N225" i="2"/>
  <c r="N267" i="2"/>
  <c r="N227" i="2"/>
  <c r="I36" i="8" s="1"/>
  <c r="O204" i="2"/>
  <c r="O88" i="2"/>
  <c r="O216" i="2"/>
  <c r="O166" i="2"/>
  <c r="O70" i="2"/>
  <c r="O67" i="2"/>
  <c r="O241" i="2"/>
  <c r="J27" i="8"/>
  <c r="O167" i="2"/>
  <c r="N270" i="2" l="1"/>
  <c r="I40" i="8"/>
  <c r="N278" i="2"/>
  <c r="O260" i="2"/>
  <c r="O175" i="2"/>
  <c r="N176" i="2" s="1"/>
  <c r="N178" i="2" s="1"/>
  <c r="N124" i="2" s="1"/>
  <c r="O78" i="2"/>
  <c r="O269" i="2" s="1"/>
  <c r="J42" i="8" s="1"/>
  <c r="P64" i="2"/>
  <c r="J28" i="8"/>
  <c r="O240" i="2"/>
  <c r="O123" i="2"/>
  <c r="O195" i="2"/>
  <c r="O208" i="2"/>
  <c r="J12" i="8"/>
  <c r="O89" i="2"/>
  <c r="I51" i="8" l="1"/>
  <c r="N279" i="2"/>
  <c r="I52" i="8" s="1"/>
  <c r="I43" i="8"/>
  <c r="I54" i="8" s="1"/>
  <c r="N281" i="2"/>
  <c r="O232" i="2"/>
  <c r="J20" i="8"/>
  <c r="O93" i="2"/>
  <c r="O94" i="2"/>
  <c r="O96" i="2" s="1"/>
  <c r="J13" i="8"/>
  <c r="P75" i="2"/>
  <c r="N127" i="2"/>
  <c r="O98" i="2" l="1"/>
  <c r="O99" i="2" s="1"/>
  <c r="O100" i="2"/>
  <c r="J15" i="8"/>
  <c r="O261" i="2"/>
  <c r="P85" i="2"/>
  <c r="P76" i="2"/>
  <c r="N290" i="2"/>
  <c r="N143" i="2"/>
  <c r="O95" i="2"/>
  <c r="P92" i="2" s="1"/>
  <c r="J14" i="8"/>
  <c r="O126" i="2"/>
  <c r="O210" i="2"/>
  <c r="O235" i="2"/>
  <c r="J22" i="8" l="1"/>
  <c r="O211" i="2"/>
  <c r="N184" i="2"/>
  <c r="N188" i="2" s="1"/>
  <c r="N168" i="2"/>
  <c r="N144" i="2"/>
  <c r="N145" i="2" s="1"/>
  <c r="N291" i="2"/>
  <c r="N297" i="2" s="1"/>
  <c r="K9" i="8"/>
  <c r="P86" i="2"/>
  <c r="K10" i="8" l="1"/>
  <c r="P102" i="2"/>
  <c r="P87" i="2"/>
  <c r="N169" i="2"/>
  <c r="N292" i="2"/>
  <c r="N298" i="2" s="1"/>
  <c r="J23" i="8"/>
  <c r="O217" i="2"/>
  <c r="J29" i="8" l="1"/>
  <c r="O149" i="2"/>
  <c r="O154" i="2" s="1"/>
  <c r="K11" i="8"/>
  <c r="P234" i="2"/>
  <c r="O219" i="2" l="1"/>
  <c r="O155" i="2"/>
  <c r="O220" i="2" s="1"/>
  <c r="O156" i="2"/>
  <c r="P151" i="2" l="1"/>
  <c r="O273" i="2"/>
  <c r="O242" i="2"/>
  <c r="J31" i="8"/>
  <c r="O221" i="2"/>
  <c r="O243" i="2"/>
  <c r="J32" i="8"/>
  <c r="O223" i="2" l="1"/>
  <c r="J33" i="8"/>
  <c r="O244" i="2"/>
  <c r="J46" i="8"/>
  <c r="O274" i="2"/>
  <c r="J47" i="8" s="1"/>
  <c r="P160" i="2"/>
  <c r="P153" i="2" l="1"/>
  <c r="P161" i="2"/>
  <c r="O249" i="2"/>
  <c r="O262" i="2"/>
  <c r="J35" i="8"/>
  <c r="O224" i="2"/>
  <c r="O263" i="2" l="1"/>
  <c r="O227" i="2"/>
  <c r="O225" i="2"/>
  <c r="O267" i="2"/>
  <c r="P204" i="2"/>
  <c r="P260" i="2"/>
  <c r="O278" i="2"/>
  <c r="O250" i="2"/>
  <c r="P66" i="2"/>
  <c r="P162" i="2"/>
  <c r="P165" i="2"/>
  <c r="P215" i="2"/>
  <c r="P88" i="2" l="1"/>
  <c r="P166" i="2"/>
  <c r="P216" i="2"/>
  <c r="P241" i="2"/>
  <c r="K27" i="8"/>
  <c r="J51" i="8"/>
  <c r="O279" i="2"/>
  <c r="J52" i="8" s="1"/>
  <c r="P167" i="2"/>
  <c r="P70" i="2"/>
  <c r="P67" i="2"/>
  <c r="J40" i="8"/>
  <c r="O270" i="2"/>
  <c r="J36" i="8"/>
  <c r="J43" i="8" l="1"/>
  <c r="J54" i="8" s="1"/>
  <c r="O281" i="2"/>
  <c r="P78" i="2"/>
  <c r="P269" i="2" s="1"/>
  <c r="K42" i="8" s="1"/>
  <c r="Q64" i="2"/>
  <c r="P208" i="2"/>
  <c r="P195" i="2"/>
  <c r="P123" i="2"/>
  <c r="P175" i="2"/>
  <c r="O176" i="2" s="1"/>
  <c r="O178" i="2" s="1"/>
  <c r="O124" i="2" s="1"/>
  <c r="K28" i="8"/>
  <c r="P240" i="2"/>
  <c r="K12" i="8"/>
  <c r="P89" i="2"/>
  <c r="O127" i="2" l="1"/>
  <c r="K20" i="8"/>
  <c r="P232" i="2"/>
  <c r="P94" i="2"/>
  <c r="P96" i="2" s="1"/>
  <c r="P98" i="2" s="1"/>
  <c r="P93" i="2"/>
  <c r="P95" i="2" s="1"/>
  <c r="Q92" i="2" s="1"/>
  <c r="K13" i="8"/>
  <c r="Q75" i="2"/>
  <c r="P210" i="2" l="1"/>
  <c r="P126" i="2"/>
  <c r="K14" i="8"/>
  <c r="P99" i="2"/>
  <c r="P235" i="2"/>
  <c r="Q85" i="2"/>
  <c r="Q76" i="2"/>
  <c r="O290" i="2"/>
  <c r="O143" i="2"/>
  <c r="O291" i="2" l="1"/>
  <c r="O297" i="2" s="1"/>
  <c r="P100" i="2"/>
  <c r="K15" i="8"/>
  <c r="P261" i="2"/>
  <c r="O184" i="2"/>
  <c r="O188" i="2" s="1"/>
  <c r="O144" i="2"/>
  <c r="O145" i="2" s="1"/>
  <c r="O168" i="2"/>
  <c r="Q86" i="2"/>
  <c r="L9" i="8"/>
  <c r="K22" i="8"/>
  <c r="P211" i="2"/>
  <c r="K23" i="8" l="1"/>
  <c r="P217" i="2"/>
  <c r="O169" i="2"/>
  <c r="Q87" i="2"/>
  <c r="Q102" i="2"/>
  <c r="L10" i="8"/>
  <c r="O292" i="2"/>
  <c r="O298" i="2" s="1"/>
  <c r="L11" i="8" l="1"/>
  <c r="Q234" i="2"/>
  <c r="K29" i="8"/>
  <c r="P149" i="2"/>
  <c r="P154" i="2" s="1"/>
  <c r="P219" i="2" l="1"/>
  <c r="P155" i="2"/>
  <c r="P220" i="2" s="1"/>
  <c r="P156" i="2" l="1"/>
  <c r="P273" i="2"/>
  <c r="Q151" i="2"/>
  <c r="K32" i="8"/>
  <c r="P243" i="2"/>
  <c r="P242" i="2"/>
  <c r="K31" i="8"/>
  <c r="P221" i="2"/>
  <c r="P223" i="2" l="1"/>
  <c r="P224" i="2" s="1"/>
  <c r="K33" i="8"/>
  <c r="P244" i="2"/>
  <c r="Q160" i="2"/>
  <c r="P274" i="2"/>
  <c r="K47" i="8" s="1"/>
  <c r="K46" i="8"/>
  <c r="Q153" i="2" l="1"/>
  <c r="Q161" i="2"/>
  <c r="Q162" i="2" s="1"/>
  <c r="P227" i="2"/>
  <c r="Q204" i="2"/>
  <c r="P267" i="2"/>
  <c r="P225" i="2"/>
  <c r="P262" i="2"/>
  <c r="P263" i="2" s="1"/>
  <c r="P249" i="2"/>
  <c r="K35" i="8"/>
  <c r="Q166" i="2" l="1"/>
  <c r="Q216" i="2"/>
  <c r="Q88" i="2"/>
  <c r="P250" i="2"/>
  <c r="P278" i="2"/>
  <c r="Q260" i="2"/>
  <c r="P270" i="2"/>
  <c r="K40" i="8"/>
  <c r="K36" i="8"/>
  <c r="Q66" i="2"/>
  <c r="Q165" i="2"/>
  <c r="Q215" i="2"/>
  <c r="L27" i="8" l="1"/>
  <c r="Q241" i="2"/>
  <c r="K43" i="8"/>
  <c r="P279" i="2"/>
  <c r="K52" i="8" s="1"/>
  <c r="K51" i="8"/>
  <c r="L28" i="8"/>
  <c r="Q240" i="2"/>
  <c r="Q167" i="2"/>
  <c r="Q70" i="2"/>
  <c r="Q67" i="2"/>
  <c r="L12" i="8"/>
  <c r="Q89" i="2"/>
  <c r="K54" i="8" l="1"/>
  <c r="L13" i="8"/>
  <c r="Q93" i="2"/>
  <c r="Q94" i="2"/>
  <c r="Q96" i="2" s="1"/>
  <c r="Q98" i="2" s="1"/>
  <c r="Q208" i="2"/>
  <c r="Q123" i="2"/>
  <c r="Q195" i="2"/>
  <c r="Q78" i="2"/>
  <c r="Q269" i="2" s="1"/>
  <c r="L42" i="8" s="1"/>
  <c r="R64" i="2"/>
  <c r="Q175" i="2"/>
  <c r="P176" i="2" s="1"/>
  <c r="P178" i="2" s="1"/>
  <c r="P124" i="2" s="1"/>
  <c r="P281" i="2"/>
  <c r="L14" i="8" l="1"/>
  <c r="Q126" i="2"/>
  <c r="Q210" i="2"/>
  <c r="Q99" i="2"/>
  <c r="R75" i="2"/>
  <c r="L20" i="8"/>
  <c r="Q232" i="2"/>
  <c r="Q211" i="2"/>
  <c r="Q95" i="2"/>
  <c r="R92" i="2" s="1"/>
  <c r="P127" i="2"/>
  <c r="L23" i="8" l="1"/>
  <c r="Q217" i="2"/>
  <c r="P143" i="2"/>
  <c r="P290" i="2"/>
  <c r="Q235" i="2"/>
  <c r="R85" i="2"/>
  <c r="R76" i="2"/>
  <c r="L15" i="8"/>
  <c r="Q261" i="2"/>
  <c r="Q100" i="2"/>
  <c r="L22" i="8"/>
  <c r="M9" i="8" l="1"/>
  <c r="R86" i="2"/>
  <c r="P291" i="2"/>
  <c r="P297" i="2" s="1"/>
  <c r="P292" i="2"/>
  <c r="P298" i="2" s="1"/>
  <c r="L29" i="8"/>
  <c r="Q149" i="2"/>
  <c r="Q154" i="2" s="1"/>
  <c r="P184" i="2"/>
  <c r="P188" i="2" s="1"/>
  <c r="P168" i="2"/>
  <c r="P144" i="2"/>
  <c r="P145" i="2" s="1"/>
  <c r="P169" i="2" l="1"/>
  <c r="Q219" i="2"/>
  <c r="Q155" i="2"/>
  <c r="Q220" i="2" s="1"/>
  <c r="R87" i="2"/>
  <c r="M10" i="8"/>
  <c r="R102" i="2"/>
  <c r="R234" i="2" l="1"/>
  <c r="M11" i="8"/>
  <c r="L32" i="8"/>
  <c r="Q243" i="2"/>
  <c r="Q156" i="2"/>
  <c r="Q242" i="2"/>
  <c r="L31" i="8"/>
  <c r="Q221" i="2"/>
  <c r="L33" i="8" l="1"/>
  <c r="Q223" i="2"/>
  <c r="Q244" i="2"/>
  <c r="Q273" i="2"/>
  <c r="R151" i="2"/>
  <c r="R160" i="2" l="1"/>
  <c r="Q274" i="2"/>
  <c r="L47" i="8" s="1"/>
  <c r="L46" i="8"/>
  <c r="Q262" i="2"/>
  <c r="Q263" i="2" s="1"/>
  <c r="Q249" i="2"/>
  <c r="L35" i="8"/>
  <c r="Q224" i="2"/>
  <c r="Q267" i="2" l="1"/>
  <c r="Q225" i="2"/>
  <c r="R204" i="2"/>
  <c r="Q227" i="2"/>
  <c r="Q250" i="2"/>
  <c r="R260" i="2"/>
  <c r="Q278" i="2"/>
  <c r="R153" i="2"/>
  <c r="R161" i="2"/>
  <c r="R66" i="2" l="1"/>
  <c r="Q279" i="2"/>
  <c r="L52" i="8" s="1"/>
  <c r="L51" i="8"/>
  <c r="R215" i="2"/>
  <c r="R165" i="2"/>
  <c r="R162" i="2"/>
  <c r="L36" i="8"/>
  <c r="L40" i="8"/>
  <c r="Q270" i="2"/>
  <c r="L43" i="8" l="1"/>
  <c r="L54" i="8" s="1"/>
  <c r="Q281" i="2"/>
  <c r="R241" i="2"/>
  <c r="M27" i="8"/>
  <c r="R88" i="2"/>
  <c r="R216" i="2"/>
  <c r="R166" i="2"/>
  <c r="R167" i="2" s="1"/>
  <c r="R70" i="2"/>
  <c r="R67" i="2"/>
  <c r="R175" i="2" l="1"/>
  <c r="Q176" i="2" s="1"/>
  <c r="Q178" i="2" s="1"/>
  <c r="Q124" i="2" s="1"/>
  <c r="R240" i="2"/>
  <c r="M28" i="8"/>
  <c r="R78" i="2"/>
  <c r="R269" i="2" s="1"/>
  <c r="M42" i="8" s="1"/>
  <c r="S64" i="2"/>
  <c r="M12" i="8"/>
  <c r="R89" i="2"/>
  <c r="R208" i="2"/>
  <c r="R123" i="2"/>
  <c r="R195" i="2"/>
  <c r="M13" i="8" l="1"/>
  <c r="R93" i="2"/>
  <c r="R94" i="2"/>
  <c r="R96" i="2" s="1"/>
  <c r="R98" i="2" s="1"/>
  <c r="M20" i="8"/>
  <c r="R232" i="2"/>
  <c r="S75" i="2"/>
  <c r="Q127" i="2"/>
  <c r="S85" i="2" l="1"/>
  <c r="S76" i="2"/>
  <c r="R235" i="2"/>
  <c r="R95" i="2"/>
  <c r="S92" i="2" s="1"/>
  <c r="Q290" i="2"/>
  <c r="Q143" i="2"/>
  <c r="M14" i="8"/>
  <c r="R210" i="2"/>
  <c r="R126" i="2"/>
  <c r="R99" i="2"/>
  <c r="M22" i="8" l="1"/>
  <c r="R211" i="2"/>
  <c r="M15" i="8"/>
  <c r="R261" i="2"/>
  <c r="R100" i="2"/>
  <c r="Q291" i="2"/>
  <c r="Q297" i="2" s="1"/>
  <c r="Q168" i="2"/>
  <c r="Q144" i="2"/>
  <c r="Q145" i="2" s="1"/>
  <c r="Q184" i="2"/>
  <c r="Q188" i="2" s="1"/>
  <c r="N9" i="8"/>
  <c r="S86" i="2"/>
  <c r="Q169" i="2" l="1"/>
  <c r="S102" i="2"/>
  <c r="S87" i="2"/>
  <c r="N10" i="8"/>
  <c r="M23" i="8"/>
  <c r="R217" i="2"/>
  <c r="Q292" i="2"/>
  <c r="Q298" i="2" s="1"/>
  <c r="R149" i="2" l="1"/>
  <c r="R154" i="2" s="1"/>
  <c r="M29" i="8"/>
  <c r="N11" i="8"/>
  <c r="S234" i="2"/>
  <c r="R219" i="2" l="1"/>
  <c r="R155" i="2"/>
  <c r="R220" i="2" s="1"/>
  <c r="R156" i="2"/>
  <c r="R273" i="2" l="1"/>
  <c r="S151" i="2"/>
  <c r="M32" i="8"/>
  <c r="R243" i="2"/>
  <c r="M31" i="8"/>
  <c r="R242" i="2"/>
  <c r="R244" i="2" s="1"/>
  <c r="R221" i="2"/>
  <c r="R223" i="2" l="1"/>
  <c r="R224" i="2"/>
  <c r="M33" i="8"/>
  <c r="S160" i="2"/>
  <c r="R274" i="2"/>
  <c r="M47" i="8" s="1"/>
  <c r="M46" i="8"/>
  <c r="R225" i="2" l="1"/>
  <c r="R267" i="2"/>
  <c r="S204" i="2"/>
  <c r="R227" i="2"/>
  <c r="M36" i="8" s="1"/>
  <c r="S153" i="2"/>
  <c r="S161" i="2"/>
  <c r="S66" i="2" s="1"/>
  <c r="R249" i="2"/>
  <c r="R250" i="2" s="1"/>
  <c r="M35" i="8"/>
  <c r="R262" i="2"/>
  <c r="R263" i="2" s="1"/>
  <c r="R278" i="2" l="1"/>
  <c r="S260" i="2"/>
  <c r="S70" i="2"/>
  <c r="S67" i="2"/>
  <c r="S162" i="2"/>
  <c r="M40" i="8"/>
  <c r="R270" i="2"/>
  <c r="S165" i="2"/>
  <c r="S215" i="2"/>
  <c r="S241" i="2" l="1"/>
  <c r="N27" i="8"/>
  <c r="M43" i="8"/>
  <c r="S216" i="2"/>
  <c r="S166" i="2"/>
  <c r="S167" i="2" s="1"/>
  <c r="S175" i="2" s="1"/>
  <c r="R176" i="2" s="1"/>
  <c r="R178" i="2" s="1"/>
  <c r="S88" i="2"/>
  <c r="S78" i="2"/>
  <c r="S269" i="2" s="1"/>
  <c r="N42" i="8" s="1"/>
  <c r="T64" i="2"/>
  <c r="S195" i="2"/>
  <c r="S208" i="2"/>
  <c r="S123" i="2"/>
  <c r="R279" i="2"/>
  <c r="M52" i="8" s="1"/>
  <c r="M51" i="8"/>
  <c r="R124" i="2" l="1"/>
  <c r="R127" i="2" s="1"/>
  <c r="N20" i="8"/>
  <c r="S232" i="2"/>
  <c r="S235" i="2" s="1"/>
  <c r="T75" i="2"/>
  <c r="N12" i="8"/>
  <c r="S89" i="2"/>
  <c r="R281" i="2"/>
  <c r="S240" i="2"/>
  <c r="N28" i="8"/>
  <c r="M54" i="8"/>
  <c r="R143" i="2" l="1"/>
  <c r="R184" i="2" s="1"/>
  <c r="R188" i="2" s="1"/>
  <c r="R290" i="2"/>
  <c r="R291" i="2" s="1"/>
  <c r="R297" i="2" s="1"/>
  <c r="N13" i="8"/>
  <c r="S93" i="2"/>
  <c r="S94" i="2"/>
  <c r="S96" i="2" s="1"/>
  <c r="S98" i="2" s="1"/>
  <c r="T85" i="2"/>
  <c r="T76" i="2"/>
  <c r="R144" i="2"/>
  <c r="R145" i="2" s="1"/>
  <c r="R168" i="2"/>
  <c r="R169" i="2" s="1"/>
  <c r="S210" i="2" l="1"/>
  <c r="N14" i="8"/>
  <c r="S126" i="2"/>
  <c r="S99" i="2"/>
  <c r="O9" i="8"/>
  <c r="T86" i="2"/>
  <c r="S95" i="2"/>
  <c r="T92" i="2" s="1"/>
  <c r="R292" i="2"/>
  <c r="R298" i="2" s="1"/>
  <c r="O10" i="8" l="1"/>
  <c r="T102" i="2"/>
  <c r="T234" i="2" s="1"/>
  <c r="T87" i="2"/>
  <c r="O11" i="8" s="1"/>
  <c r="N15" i="8"/>
  <c r="S261" i="2"/>
  <c r="S100" i="2"/>
  <c r="N22" i="8"/>
  <c r="S211" i="2"/>
  <c r="N23" i="8" l="1"/>
  <c r="S217" i="2"/>
  <c r="N29" i="8" l="1"/>
  <c r="S149" i="2"/>
  <c r="S154" i="2" s="1"/>
  <c r="S219" i="2" l="1"/>
  <c r="S155" i="2"/>
  <c r="S220" i="2" s="1"/>
  <c r="N32" i="8" l="1"/>
  <c r="S243" i="2"/>
  <c r="S156" i="2"/>
  <c r="S242" i="2"/>
  <c r="S244" i="2" s="1"/>
  <c r="N31" i="8"/>
  <c r="S221" i="2"/>
  <c r="N33" i="8" l="1"/>
  <c r="S223" i="2"/>
  <c r="S273" i="2"/>
  <c r="T151" i="2"/>
  <c r="T160" i="2" l="1"/>
  <c r="S249" i="2"/>
  <c r="S250" i="2" s="1"/>
  <c r="S262" i="2"/>
  <c r="S263" i="2" s="1"/>
  <c r="N35" i="8"/>
  <c r="N46" i="8"/>
  <c r="S274" i="2"/>
  <c r="N47" i="8" s="1"/>
  <c r="S224" i="2"/>
  <c r="S267" i="2" l="1"/>
  <c r="S225" i="2"/>
  <c r="S227" i="2"/>
  <c r="N36" i="8" s="1"/>
  <c r="T204" i="2"/>
  <c r="S278" i="2"/>
  <c r="T260" i="2"/>
  <c r="T153" i="2"/>
  <c r="T161" i="2"/>
  <c r="T66" i="2" s="1"/>
  <c r="T162" i="2" l="1"/>
  <c r="T70" i="2"/>
  <c r="T67" i="2"/>
  <c r="N51" i="8"/>
  <c r="S279" i="2"/>
  <c r="N52" i="8" s="1"/>
  <c r="T216" i="2"/>
  <c r="T88" i="2"/>
  <c r="T166" i="2"/>
  <c r="T165" i="2"/>
  <c r="T215" i="2"/>
  <c r="N40" i="8"/>
  <c r="S270" i="2"/>
  <c r="T167" i="2" l="1"/>
  <c r="T175" i="2" s="1"/>
  <c r="S176" i="2" s="1"/>
  <c r="S178" i="2" s="1"/>
  <c r="S124" i="2" s="1"/>
  <c r="S127" i="2" s="1"/>
  <c r="N43" i="8"/>
  <c r="N54" i="8" s="1"/>
  <c r="S281" i="2"/>
  <c r="T241" i="2"/>
  <c r="O27" i="8"/>
  <c r="T240" i="2"/>
  <c r="O28" i="8"/>
  <c r="T78" i="2"/>
  <c r="T269" i="2" s="1"/>
  <c r="O42" i="8" s="1"/>
  <c r="U64" i="2"/>
  <c r="O12" i="8"/>
  <c r="T89" i="2"/>
  <c r="T208" i="2"/>
  <c r="T123" i="2"/>
  <c r="T195" i="2"/>
  <c r="S290" i="2" l="1"/>
  <c r="S143" i="2"/>
  <c r="O13" i="8"/>
  <c r="T94" i="2"/>
  <c r="T96" i="2" s="1"/>
  <c r="T98" i="2" s="1"/>
  <c r="T93" i="2"/>
  <c r="T95" i="2" s="1"/>
  <c r="U92" i="2" s="1"/>
  <c r="O20" i="8"/>
  <c r="T232" i="2"/>
  <c r="T235" i="2" s="1"/>
  <c r="S184" i="2"/>
  <c r="S188" i="2" s="1"/>
  <c r="S168" i="2"/>
  <c r="S169" i="2" s="1"/>
  <c r="S144" i="2"/>
  <c r="S145" i="2" s="1"/>
  <c r="S291" i="2"/>
  <c r="S297" i="2" s="1"/>
  <c r="U75" i="2"/>
  <c r="T126" i="2" l="1"/>
  <c r="T210" i="2"/>
  <c r="O14" i="8"/>
  <c r="T99" i="2"/>
  <c r="U85" i="2"/>
  <c r="U76" i="2"/>
  <c r="S292" i="2"/>
  <c r="S298" i="2" s="1"/>
  <c r="O15" i="8" l="1"/>
  <c r="T100" i="2"/>
  <c r="T261" i="2"/>
  <c r="P9" i="8"/>
  <c r="U86" i="2"/>
  <c r="O22" i="8"/>
  <c r="T211" i="2"/>
  <c r="T217" i="2" l="1"/>
  <c r="O23" i="8"/>
  <c r="U102" i="2"/>
  <c r="U234" i="2" s="1"/>
  <c r="P10" i="8"/>
  <c r="U87" i="2"/>
  <c r="P11" i="8" s="1"/>
  <c r="O29" i="8" l="1"/>
  <c r="T149" i="2"/>
  <c r="T154" i="2" s="1"/>
  <c r="T219" i="2" l="1"/>
  <c r="T155" i="2"/>
  <c r="T220" i="2" s="1"/>
  <c r="T156" i="2"/>
  <c r="T273" i="2" l="1"/>
  <c r="U151" i="2"/>
  <c r="O32" i="8"/>
  <c r="T243" i="2"/>
  <c r="T242" i="2"/>
  <c r="T244" i="2" s="1"/>
  <c r="O31" i="8"/>
  <c r="T221" i="2"/>
  <c r="O33" i="8" l="1"/>
  <c r="T223" i="2"/>
  <c r="T224" i="2"/>
  <c r="U160" i="2"/>
  <c r="O46" i="8"/>
  <c r="T274" i="2"/>
  <c r="O47" i="8" s="1"/>
  <c r="T267" i="2" l="1"/>
  <c r="T225" i="2"/>
  <c r="U204" i="2"/>
  <c r="T227" i="2"/>
  <c r="O36" i="8" s="1"/>
  <c r="U153" i="2"/>
  <c r="U161" i="2"/>
  <c r="U66" i="2" s="1"/>
  <c r="T249" i="2"/>
  <c r="T250" i="2" s="1"/>
  <c r="T262" i="2"/>
  <c r="T263" i="2" s="1"/>
  <c r="O35" i="8"/>
  <c r="U162" i="2" l="1"/>
  <c r="T278" i="2"/>
  <c r="U260" i="2"/>
  <c r="U70" i="2"/>
  <c r="U67" i="2"/>
  <c r="U165" i="2"/>
  <c r="U215" i="2"/>
  <c r="T270" i="2"/>
  <c r="O40" i="8"/>
  <c r="O43" i="8" l="1"/>
  <c r="U208" i="2"/>
  <c r="U195" i="2"/>
  <c r="U123" i="2"/>
  <c r="O51" i="8"/>
  <c r="T279" i="2"/>
  <c r="O52" i="8" s="1"/>
  <c r="U241" i="2"/>
  <c r="P27" i="8"/>
  <c r="U78" i="2"/>
  <c r="U269" i="2" s="1"/>
  <c r="P42" i="8" s="1"/>
  <c r="V64" i="2"/>
  <c r="U88" i="2"/>
  <c r="U166" i="2"/>
  <c r="U167" i="2" s="1"/>
  <c r="U175" i="2" s="1"/>
  <c r="T176" i="2" s="1"/>
  <c r="T178" i="2" s="1"/>
  <c r="U216" i="2"/>
  <c r="T124" i="2" l="1"/>
  <c r="T127" i="2" s="1"/>
  <c r="P28" i="8"/>
  <c r="U240" i="2"/>
  <c r="P12" i="8"/>
  <c r="U89" i="2"/>
  <c r="V75" i="2"/>
  <c r="O54" i="8"/>
  <c r="U232" i="2"/>
  <c r="U235" i="2" s="1"/>
  <c r="P20" i="8"/>
  <c r="T281" i="2"/>
  <c r="T143" i="2" l="1"/>
  <c r="T290" i="2"/>
  <c r="T291" i="2" s="1"/>
  <c r="V85" i="2"/>
  <c r="V76" i="2"/>
  <c r="P13" i="8"/>
  <c r="U94" i="2"/>
  <c r="U96" i="2" s="1"/>
  <c r="U98" i="2" s="1"/>
  <c r="U93" i="2"/>
  <c r="U95" i="2" s="1"/>
  <c r="V92" i="2" s="1"/>
  <c r="T184" i="2"/>
  <c r="T188" i="2" s="1"/>
  <c r="T168" i="2"/>
  <c r="T169" i="2" s="1"/>
  <c r="T144" i="2"/>
  <c r="T145" i="2" s="1"/>
  <c r="T297" i="2" l="1"/>
  <c r="T292" i="2"/>
  <c r="T298" i="2" s="1"/>
  <c r="U210" i="2"/>
  <c r="U126" i="2"/>
  <c r="P14" i="8"/>
  <c r="U99" i="2"/>
  <c r="Q9" i="8"/>
  <c r="V86" i="2"/>
  <c r="V102" i="2" l="1"/>
  <c r="V234" i="2" s="1"/>
  <c r="Q10" i="8"/>
  <c r="V87" i="2"/>
  <c r="Q11" i="8" s="1"/>
  <c r="U261" i="2"/>
  <c r="U100" i="2"/>
  <c r="P15" i="8"/>
  <c r="P22" i="8"/>
  <c r="U211" i="2"/>
  <c r="P23" i="8" l="1"/>
  <c r="U217" i="2"/>
  <c r="U149" i="2" l="1"/>
  <c r="U154" i="2" s="1"/>
  <c r="P29" i="8"/>
  <c r="U219" i="2" l="1"/>
  <c r="U155" i="2"/>
  <c r="U220" i="2" s="1"/>
  <c r="U156" i="2"/>
  <c r="U273" i="2" l="1"/>
  <c r="V151" i="2"/>
  <c r="U243" i="2"/>
  <c r="P32" i="8"/>
  <c r="P31" i="8"/>
  <c r="U242" i="2"/>
  <c r="U244" i="2" s="1"/>
  <c r="U221" i="2"/>
  <c r="P33" i="8" l="1"/>
  <c r="U223" i="2"/>
  <c r="U224" i="2"/>
  <c r="V160" i="2"/>
  <c r="U274" i="2"/>
  <c r="P47" i="8" s="1"/>
  <c r="P46" i="8"/>
  <c r="V153" i="2" l="1"/>
  <c r="V161" i="2"/>
  <c r="V66" i="2" s="1"/>
  <c r="U249" i="2"/>
  <c r="U250" i="2" s="1"/>
  <c r="P35" i="8"/>
  <c r="U262" i="2"/>
  <c r="U263" i="2" s="1"/>
  <c r="U267" i="2"/>
  <c r="U227" i="2"/>
  <c r="P36" i="8" s="1"/>
  <c r="U225" i="2"/>
  <c r="V204" i="2"/>
  <c r="V215" i="2" l="1"/>
  <c r="V165" i="2"/>
  <c r="P40" i="8"/>
  <c r="U270" i="2"/>
  <c r="V260" i="2"/>
  <c r="U278" i="2"/>
  <c r="V70" i="2"/>
  <c r="V67" i="2"/>
  <c r="V162" i="2"/>
  <c r="V78" i="2" l="1"/>
  <c r="V269" i="2" s="1"/>
  <c r="Q42" i="8" s="1"/>
  <c r="W64" i="2"/>
  <c r="P51" i="8"/>
  <c r="U279" i="2"/>
  <c r="P52" i="8" s="1"/>
  <c r="V166" i="2"/>
  <c r="V88" i="2"/>
  <c r="V216" i="2"/>
  <c r="V208" i="2"/>
  <c r="V195" i="2"/>
  <c r="V123" i="2"/>
  <c r="P43" i="8"/>
  <c r="P54" i="8" s="1"/>
  <c r="U281" i="2"/>
  <c r="V167" i="2"/>
  <c r="V175" i="2" s="1"/>
  <c r="U176" i="2" s="1"/>
  <c r="U178" i="2" s="1"/>
  <c r="Q27" i="8"/>
  <c r="V241" i="2"/>
  <c r="U124" i="2" l="1"/>
  <c r="U127" i="2" s="1"/>
  <c r="V232" i="2"/>
  <c r="V235" i="2" s="1"/>
  <c r="Q20" i="8"/>
  <c r="W75" i="2"/>
  <c r="V240" i="2"/>
  <c r="Q28" i="8"/>
  <c r="Q12" i="8"/>
  <c r="V89" i="2"/>
  <c r="U290" i="2" l="1"/>
  <c r="U291" i="2" s="1"/>
  <c r="U297" i="2" s="1"/>
  <c r="U143" i="2"/>
  <c r="Q13" i="8"/>
  <c r="V93" i="2"/>
  <c r="V94" i="2"/>
  <c r="V96" i="2" s="1"/>
  <c r="V98" i="2" s="1"/>
  <c r="W85" i="2"/>
  <c r="W76" i="2"/>
  <c r="U144" i="2"/>
  <c r="U145" i="2" s="1"/>
  <c r="U184" i="2"/>
  <c r="U188" i="2" s="1"/>
  <c r="U168" i="2"/>
  <c r="U169" i="2" s="1"/>
  <c r="U292" i="2" l="1"/>
  <c r="U298" i="2" s="1"/>
  <c r="V210" i="2"/>
  <c r="Q14" i="8"/>
  <c r="V126" i="2"/>
  <c r="V99" i="2"/>
  <c r="W86" i="2"/>
  <c r="R9" i="8"/>
  <c r="V95" i="2"/>
  <c r="W92" i="2" s="1"/>
  <c r="W87" i="2" l="1"/>
  <c r="R11" i="8" s="1"/>
  <c r="W102" i="2"/>
  <c r="W234" i="2" s="1"/>
  <c r="R10" i="8"/>
  <c r="V261" i="2"/>
  <c r="V100" i="2"/>
  <c r="Q15" i="8"/>
  <c r="Q22" i="8"/>
  <c r="V211" i="2"/>
  <c r="Q23" i="8" l="1"/>
  <c r="V217" i="2"/>
  <c r="Q29" i="8" l="1"/>
  <c r="V149" i="2"/>
  <c r="V154" i="2" s="1"/>
  <c r="V219" i="2" l="1"/>
  <c r="V155" i="2"/>
  <c r="V220" i="2" s="1"/>
  <c r="V156" i="2"/>
  <c r="V273" i="2" l="1"/>
  <c r="W151" i="2"/>
  <c r="V243" i="2"/>
  <c r="Q32" i="8"/>
  <c r="Q31" i="8"/>
  <c r="V242" i="2"/>
  <c r="V244" i="2" s="1"/>
  <c r="V221" i="2"/>
  <c r="Q33" i="8" l="1"/>
  <c r="V223" i="2"/>
  <c r="W160" i="2"/>
  <c r="Q46" i="8"/>
  <c r="V274" i="2"/>
  <c r="Q47" i="8" s="1"/>
  <c r="W153" i="2" l="1"/>
  <c r="W161" i="2"/>
  <c r="W66" i="2" s="1"/>
  <c r="Q35" i="8"/>
  <c r="V262" i="2"/>
  <c r="V263" i="2" s="1"/>
  <c r="V249" i="2"/>
  <c r="V250" i="2" s="1"/>
  <c r="V224" i="2"/>
  <c r="V227" i="2" l="1"/>
  <c r="Q36" i="8" s="1"/>
  <c r="W204" i="2"/>
  <c r="V267" i="2"/>
  <c r="V225" i="2"/>
  <c r="W162" i="2"/>
  <c r="V278" i="2"/>
  <c r="W260" i="2"/>
  <c r="W70" i="2"/>
  <c r="W67" i="2"/>
  <c r="W215" i="2"/>
  <c r="W165" i="2"/>
  <c r="W78" i="2" l="1"/>
  <c r="W269" i="2" s="1"/>
  <c r="R42" i="8" s="1"/>
  <c r="X64" i="2"/>
  <c r="W123" i="2"/>
  <c r="W195" i="2"/>
  <c r="W208" i="2"/>
  <c r="R27" i="8"/>
  <c r="W241" i="2"/>
  <c r="V279" i="2"/>
  <c r="Q52" i="8" s="1"/>
  <c r="Q51" i="8"/>
  <c r="W216" i="2"/>
  <c r="W166" i="2"/>
  <c r="W167" i="2" s="1"/>
  <c r="W175" i="2" s="1"/>
  <c r="V176" i="2" s="1"/>
  <c r="V178" i="2" s="1"/>
  <c r="W88" i="2"/>
  <c r="Q40" i="8"/>
  <c r="V270" i="2"/>
  <c r="V124" i="2" l="1"/>
  <c r="V127" i="2" s="1"/>
  <c r="R28" i="8"/>
  <c r="W240" i="2"/>
  <c r="Q43" i="8"/>
  <c r="Q54" i="8" s="1"/>
  <c r="V281" i="2"/>
  <c r="R12" i="8"/>
  <c r="W89" i="2"/>
  <c r="W232" i="2"/>
  <c r="W235" i="2" s="1"/>
  <c r="R20" i="8"/>
  <c r="X75" i="2"/>
  <c r="V143" i="2" l="1"/>
  <c r="V290" i="2"/>
  <c r="V291" i="2" s="1"/>
  <c r="V297" i="2" s="1"/>
  <c r="X85" i="2"/>
  <c r="X76" i="2"/>
  <c r="W94" i="2"/>
  <c r="W96" i="2" s="1"/>
  <c r="W98" i="2" s="1"/>
  <c r="W93" i="2"/>
  <c r="W95" i="2" s="1"/>
  <c r="X92" i="2" s="1"/>
  <c r="R13" i="8"/>
  <c r="V168" i="2"/>
  <c r="V169" i="2" s="1"/>
  <c r="V144" i="2"/>
  <c r="V145" i="2" s="1"/>
  <c r="V184" i="2"/>
  <c r="V188" i="2" s="1"/>
  <c r="V292" i="2" l="1"/>
  <c r="V298" i="2" s="1"/>
  <c r="W126" i="2"/>
  <c r="R14" i="8"/>
  <c r="W210" i="2"/>
  <c r="W99" i="2"/>
  <c r="X86" i="2"/>
  <c r="S9" i="8"/>
  <c r="S10" i="8" l="1"/>
  <c r="X102" i="2"/>
  <c r="X234" i="2" s="1"/>
  <c r="X87" i="2"/>
  <c r="S11" i="8" s="1"/>
  <c r="W261" i="2"/>
  <c r="R15" i="8"/>
  <c r="W100" i="2"/>
  <c r="R22" i="8"/>
  <c r="W211" i="2"/>
  <c r="R23" i="8" l="1"/>
  <c r="W217" i="2"/>
  <c r="W149" i="2" l="1"/>
  <c r="W154" i="2" s="1"/>
  <c r="R29" i="8"/>
  <c r="W219" i="2" l="1"/>
  <c r="W155" i="2"/>
  <c r="W220" i="2" s="1"/>
  <c r="W156" i="2"/>
  <c r="W273" i="2" l="1"/>
  <c r="X151" i="2"/>
  <c r="W243" i="2"/>
  <c r="R32" i="8"/>
  <c r="R31" i="8"/>
  <c r="W242" i="2"/>
  <c r="W244" i="2" s="1"/>
  <c r="W221" i="2"/>
  <c r="W223" i="2" l="1"/>
  <c r="R33" i="8"/>
  <c r="W224" i="2"/>
  <c r="X160" i="2"/>
  <c r="W274" i="2"/>
  <c r="R47" i="8" s="1"/>
  <c r="R46" i="8"/>
  <c r="X161" i="2" l="1"/>
  <c r="X66" i="2" s="1"/>
  <c r="X153" i="2"/>
  <c r="W267" i="2"/>
  <c r="W227" i="2"/>
  <c r="R36" i="8" s="1"/>
  <c r="W225" i="2"/>
  <c r="X204" i="2"/>
  <c r="W249" i="2"/>
  <c r="W250" i="2" s="1"/>
  <c r="W262" i="2"/>
  <c r="W263" i="2" s="1"/>
  <c r="R35" i="8"/>
  <c r="W278" i="2" l="1"/>
  <c r="X260" i="2"/>
  <c r="R40" i="8"/>
  <c r="W270" i="2"/>
  <c r="X70" i="2"/>
  <c r="X67" i="2"/>
  <c r="X165" i="2"/>
  <c r="X215" i="2"/>
  <c r="X162" i="2"/>
  <c r="X166" i="2" l="1"/>
  <c r="X88" i="2"/>
  <c r="X216" i="2"/>
  <c r="X241" i="2"/>
  <c r="S27" i="8"/>
  <c r="X78" i="2"/>
  <c r="X269" i="2" s="1"/>
  <c r="S42" i="8" s="1"/>
  <c r="Y64" i="2"/>
  <c r="R43" i="8"/>
  <c r="X167" i="2"/>
  <c r="X175" i="2" s="1"/>
  <c r="W176" i="2" s="1"/>
  <c r="W178" i="2" s="1"/>
  <c r="X195" i="2"/>
  <c r="X208" i="2"/>
  <c r="X123" i="2"/>
  <c r="W279" i="2"/>
  <c r="R52" i="8" s="1"/>
  <c r="R51" i="8"/>
  <c r="W124" i="2" l="1"/>
  <c r="W127" i="2" s="1"/>
  <c r="X232" i="2"/>
  <c r="X235" i="2" s="1"/>
  <c r="S20" i="8"/>
  <c r="W281" i="2"/>
  <c r="R54" i="8"/>
  <c r="Y75" i="2"/>
  <c r="X240" i="2"/>
  <c r="S28" i="8"/>
  <c r="S12" i="8"/>
  <c r="X89" i="2"/>
  <c r="W290" i="2" l="1"/>
  <c r="W291" i="2" s="1"/>
  <c r="W297" i="2" s="1"/>
  <c r="W143" i="2"/>
  <c r="W168" i="2" s="1"/>
  <c r="W169" i="2" s="1"/>
  <c r="X94" i="2"/>
  <c r="S13" i="8"/>
  <c r="X93" i="2"/>
  <c r="X95" i="2" s="1"/>
  <c r="Y92" i="2" s="1"/>
  <c r="X96" i="2"/>
  <c r="X98" i="2" s="1"/>
  <c r="Y85" i="2"/>
  <c r="Y76" i="2"/>
  <c r="W184" i="2" l="1"/>
  <c r="W188" i="2" s="1"/>
  <c r="W144" i="2"/>
  <c r="W145" i="2" s="1"/>
  <c r="W292" i="2"/>
  <c r="W298" i="2" s="1"/>
  <c r="Y86" i="2"/>
  <c r="T9" i="8"/>
  <c r="X210" i="2"/>
  <c r="X126" i="2"/>
  <c r="S14" i="8"/>
  <c r="X99" i="2"/>
  <c r="S22" i="8" l="1"/>
  <c r="X211" i="2"/>
  <c r="X261" i="2"/>
  <c r="S15" i="8"/>
  <c r="X100" i="2"/>
  <c r="T10" i="8"/>
  <c r="Y102" i="2"/>
  <c r="Y234" i="2" s="1"/>
  <c r="Y87" i="2"/>
  <c r="T11" i="8" s="1"/>
  <c r="S23" i="8" l="1"/>
  <c r="X217" i="2"/>
  <c r="S29" i="8" l="1"/>
  <c r="X149" i="2"/>
  <c r="X154" i="2" s="1"/>
  <c r="X219" i="2" l="1"/>
  <c r="X155" i="2"/>
  <c r="X220" i="2" s="1"/>
  <c r="X156" i="2"/>
  <c r="X273" i="2" l="1"/>
  <c r="Y151" i="2"/>
  <c r="S32" i="8"/>
  <c r="X243" i="2"/>
  <c r="S31" i="8"/>
  <c r="X242" i="2"/>
  <c r="X244" i="2" s="1"/>
  <c r="X221" i="2"/>
  <c r="S33" i="8" l="1"/>
  <c r="X223" i="2"/>
  <c r="X224" i="2" s="1"/>
  <c r="Y160" i="2"/>
  <c r="S46" i="8"/>
  <c r="X274" i="2"/>
  <c r="S47" i="8" s="1"/>
  <c r="X267" i="2" l="1"/>
  <c r="X225" i="2"/>
  <c r="X227" i="2"/>
  <c r="S36" i="8" s="1"/>
  <c r="Y204" i="2"/>
  <c r="Y161" i="2"/>
  <c r="Y66" i="2" s="1"/>
  <c r="Y153" i="2"/>
  <c r="Y162" i="2"/>
  <c r="X249" i="2"/>
  <c r="X250" i="2" s="1"/>
  <c r="S35" i="8"/>
  <c r="X262" i="2"/>
  <c r="X263" i="2" s="1"/>
  <c r="X278" i="2" l="1"/>
  <c r="Y260" i="2"/>
  <c r="Y215" i="2"/>
  <c r="Y165" i="2"/>
  <c r="Y70" i="2"/>
  <c r="Y67" i="2"/>
  <c r="Y216" i="2"/>
  <c r="Y88" i="2"/>
  <c r="Y166" i="2"/>
  <c r="S40" i="8"/>
  <c r="X270" i="2"/>
  <c r="T12" i="8" l="1"/>
  <c r="Y89" i="2"/>
  <c r="T28" i="8"/>
  <c r="Y240" i="2"/>
  <c r="Y195" i="2"/>
  <c r="Y208" i="2"/>
  <c r="Y123" i="2"/>
  <c r="S43" i="8"/>
  <c r="Z64" i="2"/>
  <c r="Y78" i="2"/>
  <c r="Y269" i="2" s="1"/>
  <c r="T42" i="8" s="1"/>
  <c r="Y167" i="2"/>
  <c r="Y175" i="2" s="1"/>
  <c r="X176" i="2" s="1"/>
  <c r="X178" i="2" s="1"/>
  <c r="T27" i="8"/>
  <c r="Y241" i="2"/>
  <c r="X279" i="2"/>
  <c r="S52" i="8" s="1"/>
  <c r="S51" i="8"/>
  <c r="X124" i="2" l="1"/>
  <c r="X127" i="2" s="1"/>
  <c r="S54" i="8"/>
  <c r="Y94" i="2"/>
  <c r="T13" i="8"/>
  <c r="Y93" i="2"/>
  <c r="Y95" i="2" s="1"/>
  <c r="Z92" i="2" s="1"/>
  <c r="Y96" i="2"/>
  <c r="Y98" i="2" s="1"/>
  <c r="Y99" i="2" s="1"/>
  <c r="Z75" i="2"/>
  <c r="X281" i="2"/>
  <c r="T20" i="8"/>
  <c r="Y232" i="2"/>
  <c r="Y235" i="2" s="1"/>
  <c r="X290" i="2" l="1"/>
  <c r="X291" i="2" s="1"/>
  <c r="X297" i="2" s="1"/>
  <c r="X143" i="2"/>
  <c r="X184" i="2" s="1"/>
  <c r="X188" i="2" s="1"/>
  <c r="Y100" i="2"/>
  <c r="Y261" i="2"/>
  <c r="T15" i="8"/>
  <c r="Z85" i="2"/>
  <c r="Z76" i="2"/>
  <c r="Y210" i="2"/>
  <c r="Y126" i="2"/>
  <c r="T14" i="8"/>
  <c r="X144" i="2" l="1"/>
  <c r="X145" i="2" s="1"/>
  <c r="X168" i="2"/>
  <c r="X169" i="2" s="1"/>
  <c r="X292" i="2"/>
  <c r="X298" i="2" s="1"/>
  <c r="T22" i="8"/>
  <c r="Y211" i="2"/>
  <c r="Z86" i="2"/>
  <c r="U9" i="8"/>
  <c r="Z87" i="2" l="1"/>
  <c r="U11" i="8" s="1"/>
  <c r="Z102" i="2"/>
  <c r="Z234" i="2" s="1"/>
  <c r="U10" i="8"/>
  <c r="T23" i="8"/>
  <c r="Y217" i="2"/>
  <c r="T29" i="8" l="1"/>
  <c r="Y149" i="2"/>
  <c r="Y154" i="2" s="1"/>
  <c r="Y219" i="2" l="1"/>
  <c r="Y155" i="2"/>
  <c r="Y220" i="2" s="1"/>
  <c r="Y243" i="2" l="1"/>
  <c r="T32" i="8"/>
  <c r="Y156" i="2"/>
  <c r="T31" i="8"/>
  <c r="Y242" i="2"/>
  <c r="Y244" i="2" s="1"/>
  <c r="Y221" i="2"/>
  <c r="T33" i="8" l="1"/>
  <c r="Y223" i="2"/>
  <c r="Y273" i="2"/>
  <c r="Z151" i="2"/>
  <c r="Z160" i="2" l="1"/>
  <c r="Y262" i="2"/>
  <c r="Y263" i="2" s="1"/>
  <c r="T35" i="8"/>
  <c r="Y249" i="2"/>
  <c r="Y250" i="2" s="1"/>
  <c r="T46" i="8"/>
  <c r="Y274" i="2"/>
  <c r="T47" i="8" s="1"/>
  <c r="Y224" i="2"/>
  <c r="Y278" i="2" l="1"/>
  <c r="Z260" i="2"/>
  <c r="Y225" i="2"/>
  <c r="Y267" i="2"/>
  <c r="Z204" i="2"/>
  <c r="Y227" i="2"/>
  <c r="T36" i="8" s="1"/>
  <c r="Z161" i="2"/>
  <c r="Z66" i="2" s="1"/>
  <c r="Z162" i="2"/>
  <c r="Z153" i="2"/>
  <c r="Z166" i="2" l="1"/>
  <c r="Z216" i="2"/>
  <c r="Z88" i="2"/>
  <c r="T40" i="8"/>
  <c r="Y270" i="2"/>
  <c r="Z215" i="2"/>
  <c r="Z165" i="2"/>
  <c r="Z167" i="2" s="1"/>
  <c r="Z175" i="2" s="1"/>
  <c r="Y176" i="2" s="1"/>
  <c r="Y178" i="2" s="1"/>
  <c r="Z70" i="2"/>
  <c r="Z67" i="2"/>
  <c r="Y279" i="2"/>
  <c r="T52" i="8" s="1"/>
  <c r="T51" i="8"/>
  <c r="Y124" i="2" l="1"/>
  <c r="Y127" i="2" s="1"/>
  <c r="Y281" i="2"/>
  <c r="T43" i="8"/>
  <c r="T54" i="8" s="1"/>
  <c r="Z240" i="2"/>
  <c r="U28" i="8"/>
  <c r="Z78" i="2"/>
  <c r="Z269" i="2" s="1"/>
  <c r="U42" i="8" s="1"/>
  <c r="AA64" i="2"/>
  <c r="Z195" i="2"/>
  <c r="Z208" i="2"/>
  <c r="Z123" i="2"/>
  <c r="Z241" i="2"/>
  <c r="U27" i="8"/>
  <c r="U12" i="8"/>
  <c r="Z89" i="2"/>
  <c r="Y143" i="2" l="1"/>
  <c r="Y290" i="2"/>
  <c r="Y291" i="2" s="1"/>
  <c r="Y297" i="2" s="1"/>
  <c r="Z93" i="2"/>
  <c r="Z94" i="2"/>
  <c r="U13" i="8"/>
  <c r="Z96" i="2"/>
  <c r="Z98" i="2" s="1"/>
  <c r="Z232" i="2"/>
  <c r="Z235" i="2" s="1"/>
  <c r="U20" i="8"/>
  <c r="AA75" i="2"/>
  <c r="Y144" i="2"/>
  <c r="Y145" i="2" s="1"/>
  <c r="Y184" i="2"/>
  <c r="Y188" i="2" s="1"/>
  <c r="Y168" i="2"/>
  <c r="Y169" i="2" s="1"/>
  <c r="AA85" i="2" l="1"/>
  <c r="AA76" i="2"/>
  <c r="Z95" i="2"/>
  <c r="AA92" i="2" s="1"/>
  <c r="Y292" i="2"/>
  <c r="Y298" i="2" s="1"/>
  <c r="Z210" i="2"/>
  <c r="Z126" i="2"/>
  <c r="U14" i="8"/>
  <c r="Z99" i="2"/>
  <c r="Z261" i="2" l="1"/>
  <c r="Z100" i="2"/>
  <c r="U15" i="8"/>
  <c r="U22" i="8"/>
  <c r="Z211" i="2"/>
  <c r="V9" i="8"/>
  <c r="AA86" i="2"/>
  <c r="V10" i="8" l="1"/>
  <c r="AA102" i="2"/>
  <c r="AA234" i="2" s="1"/>
  <c r="AA87" i="2"/>
  <c r="V11" i="8" s="1"/>
  <c r="U23" i="8"/>
  <c r="Z217" i="2"/>
  <c r="Z149" i="2" l="1"/>
  <c r="Z154" i="2" s="1"/>
  <c r="U29" i="8"/>
  <c r="Z219" i="2" l="1"/>
  <c r="Z155" i="2"/>
  <c r="Z220" i="2" s="1"/>
  <c r="Z243" i="2" l="1"/>
  <c r="U32" i="8"/>
  <c r="Z156" i="2"/>
  <c r="Z242" i="2"/>
  <c r="Z244" i="2" s="1"/>
  <c r="U31" i="8"/>
  <c r="Z221" i="2"/>
  <c r="U33" i="8" l="1"/>
  <c r="Z223" i="2"/>
  <c r="Z224" i="2"/>
  <c r="AA151" i="2"/>
  <c r="Z273" i="2"/>
  <c r="U46" i="8" l="1"/>
  <c r="Z274" i="2"/>
  <c r="U47" i="8" s="1"/>
  <c r="AA160" i="2"/>
  <c r="Z249" i="2"/>
  <c r="Z250" i="2" s="1"/>
  <c r="Z262" i="2"/>
  <c r="Z263" i="2" s="1"/>
  <c r="U35" i="8"/>
  <c r="Z227" i="2"/>
  <c r="U36" i="8" s="1"/>
  <c r="Z225" i="2"/>
  <c r="Z267" i="2"/>
  <c r="AA204" i="2"/>
  <c r="AA260" i="2" l="1"/>
  <c r="Z278" i="2"/>
  <c r="U40" i="8"/>
  <c r="Z270" i="2"/>
  <c r="AA153" i="2"/>
  <c r="AA161" i="2"/>
  <c r="AA66" i="2" s="1"/>
  <c r="AA162" i="2" l="1"/>
  <c r="AA215" i="2"/>
  <c r="AA165" i="2"/>
  <c r="U51" i="8"/>
  <c r="Z279" i="2"/>
  <c r="U52" i="8" s="1"/>
  <c r="AA88" i="2"/>
  <c r="AA216" i="2"/>
  <c r="AA166" i="2"/>
  <c r="AA70" i="2"/>
  <c r="AA67" i="2"/>
  <c r="U43" i="8"/>
  <c r="U54" i="8" s="1"/>
  <c r="Z281" i="2"/>
  <c r="AA195" i="2" l="1"/>
  <c r="AA208" i="2"/>
  <c r="AA123" i="2"/>
  <c r="AA240" i="2"/>
  <c r="V28" i="8"/>
  <c r="V12" i="8"/>
  <c r="AA89" i="2"/>
  <c r="AA167" i="2"/>
  <c r="AA175" i="2" s="1"/>
  <c r="Z176" i="2" s="1"/>
  <c r="Z178" i="2" s="1"/>
  <c r="AA78" i="2"/>
  <c r="AA269" i="2" s="1"/>
  <c r="V42" i="8" s="1"/>
  <c r="AB64" i="2"/>
  <c r="AA241" i="2"/>
  <c r="V27" i="8"/>
  <c r="Z124" i="2" l="1"/>
  <c r="Z127" i="2" s="1"/>
  <c r="AB75" i="2"/>
  <c r="V13" i="8"/>
  <c r="AA93" i="2"/>
  <c r="AA94" i="2"/>
  <c r="AA96" i="2" s="1"/>
  <c r="AA98" i="2" s="1"/>
  <c r="V20" i="8"/>
  <c r="AA232" i="2"/>
  <c r="AA235" i="2" s="1"/>
  <c r="Z143" i="2" l="1"/>
  <c r="Z184" i="2" s="1"/>
  <c r="Z188" i="2" s="1"/>
  <c r="Z290" i="2"/>
  <c r="Z291" i="2" s="1"/>
  <c r="Z297" i="2" s="1"/>
  <c r="AA210" i="2"/>
  <c r="V14" i="8"/>
  <c r="AA126" i="2"/>
  <c r="AA99" i="2"/>
  <c r="AB85" i="2"/>
  <c r="AB76" i="2"/>
  <c r="AA95" i="2"/>
  <c r="AB92" i="2" s="1"/>
  <c r="Z168" i="2" l="1"/>
  <c r="Z169" i="2" s="1"/>
  <c r="Z144" i="2"/>
  <c r="Z145" i="2" s="1"/>
  <c r="W9" i="8"/>
  <c r="AB86" i="2"/>
  <c r="AA261" i="2"/>
  <c r="AA100" i="2"/>
  <c r="V15" i="8"/>
  <c r="Z292" i="2"/>
  <c r="Z298" i="2" s="1"/>
  <c r="V22" i="8"/>
  <c r="AA211" i="2"/>
  <c r="V23" i="8" l="1"/>
  <c r="AA217" i="2"/>
  <c r="AB87" i="2"/>
  <c r="W11" i="8" s="1"/>
  <c r="AB102" i="2"/>
  <c r="AB234" i="2" s="1"/>
  <c r="W10" i="8"/>
  <c r="AA149" i="2" l="1"/>
  <c r="AA154" i="2" s="1"/>
  <c r="V29" i="8"/>
  <c r="AA219" i="2" l="1"/>
  <c r="AA155" i="2"/>
  <c r="AA220" i="2" s="1"/>
  <c r="AA156" i="2"/>
  <c r="AA273" i="2" l="1"/>
  <c r="AB151" i="2"/>
  <c r="AA243" i="2"/>
  <c r="V32" i="8"/>
  <c r="AA242" i="2"/>
  <c r="AA244" i="2" s="1"/>
  <c r="V31" i="8"/>
  <c r="AA221" i="2"/>
  <c r="V33" i="8" l="1"/>
  <c r="AA223" i="2"/>
  <c r="AA224" i="2"/>
  <c r="AB160" i="2"/>
  <c r="V46" i="8"/>
  <c r="AA274" i="2"/>
  <c r="V47" i="8" s="1"/>
  <c r="AB153" i="2" l="1"/>
  <c r="AB161" i="2"/>
  <c r="AB66" i="2" s="1"/>
  <c r="AB162" i="2"/>
  <c r="AA262" i="2"/>
  <c r="AA263" i="2" s="1"/>
  <c r="V35" i="8"/>
  <c r="AA249" i="2"/>
  <c r="AA250" i="2" s="1"/>
  <c r="AA227" i="2"/>
  <c r="V36" i="8" s="1"/>
  <c r="AA225" i="2"/>
  <c r="AA267" i="2"/>
  <c r="AB204" i="2"/>
  <c r="V40" i="8" l="1"/>
  <c r="AA270" i="2"/>
  <c r="AA278" i="2"/>
  <c r="AB260" i="2"/>
  <c r="AB216" i="2"/>
  <c r="AB88" i="2"/>
  <c r="AB166" i="2"/>
  <c r="AB70" i="2"/>
  <c r="AB67" i="2"/>
  <c r="AB165" i="2"/>
  <c r="AB167" i="2" s="1"/>
  <c r="AB175" i="2" s="1"/>
  <c r="AA176" i="2" s="1"/>
  <c r="AA178" i="2" s="1"/>
  <c r="AB215" i="2"/>
  <c r="AA124" i="2" l="1"/>
  <c r="AA127" i="2" s="1"/>
  <c r="W27" i="8"/>
  <c r="AB241" i="2"/>
  <c r="AB78" i="2"/>
  <c r="AB269" i="2" s="1"/>
  <c r="W42" i="8" s="1"/>
  <c r="AC64" i="2"/>
  <c r="AB123" i="2"/>
  <c r="AB195" i="2"/>
  <c r="AB208" i="2"/>
  <c r="W12" i="8"/>
  <c r="AB89" i="2"/>
  <c r="AB240" i="2"/>
  <c r="W28" i="8"/>
  <c r="AA279" i="2"/>
  <c r="V52" i="8" s="1"/>
  <c r="V51" i="8"/>
  <c r="AA281" i="2"/>
  <c r="V43" i="8"/>
  <c r="V54" i="8" s="1"/>
  <c r="AA290" i="2" l="1"/>
  <c r="AA291" i="2" s="1"/>
  <c r="AA297" i="2" s="1"/>
  <c r="AA143" i="2"/>
  <c r="AC75" i="2"/>
  <c r="AB94" i="2"/>
  <c r="AB96" i="2" s="1"/>
  <c r="AB98" i="2" s="1"/>
  <c r="AB93" i="2"/>
  <c r="AB95" i="2" s="1"/>
  <c r="AC92" i="2" s="1"/>
  <c r="W13" i="8"/>
  <c r="AB232" i="2"/>
  <c r="AB235" i="2" s="1"/>
  <c r="W20" i="8"/>
  <c r="AA184" i="2"/>
  <c r="AA188" i="2" s="1"/>
  <c r="AA144" i="2"/>
  <c r="AA145" i="2" s="1"/>
  <c r="AA168" i="2"/>
  <c r="AA169" i="2" s="1"/>
  <c r="AB126" i="2" l="1"/>
  <c r="W14" i="8"/>
  <c r="AB210" i="2"/>
  <c r="AB99" i="2"/>
  <c r="AC85" i="2"/>
  <c r="AC76" i="2"/>
  <c r="AA292" i="2"/>
  <c r="AA298" i="2" s="1"/>
  <c r="X9" i="8" l="1"/>
  <c r="AC86" i="2"/>
  <c r="W15" i="8"/>
  <c r="AB261" i="2"/>
  <c r="AB100" i="2"/>
  <c r="W22" i="8"/>
  <c r="AB211" i="2"/>
  <c r="W23" i="8" l="1"/>
  <c r="AB217" i="2"/>
  <c r="AC102" i="2"/>
  <c r="AC234" i="2" s="1"/>
  <c r="AC87" i="2"/>
  <c r="X11" i="8" s="1"/>
  <c r="X10" i="8"/>
  <c r="AB149" i="2" l="1"/>
  <c r="AB154" i="2" s="1"/>
  <c r="W29" i="8"/>
  <c r="AB219" i="2" l="1"/>
  <c r="AB155" i="2"/>
  <c r="AB220" i="2" s="1"/>
  <c r="AB243" i="2" l="1"/>
  <c r="W32" i="8"/>
  <c r="AB156" i="2"/>
  <c r="AB242" i="2"/>
  <c r="AB244" i="2" s="1"/>
  <c r="W31" i="8"/>
  <c r="AB221" i="2"/>
  <c r="W33" i="8" l="1"/>
  <c r="AB223" i="2"/>
  <c r="AB224" i="2" s="1"/>
  <c r="AB273" i="2"/>
  <c r="AC151" i="2"/>
  <c r="AB225" i="2" l="1"/>
  <c r="AB267" i="2"/>
  <c r="AB227" i="2"/>
  <c r="W36" i="8" s="1"/>
  <c r="AC204" i="2"/>
  <c r="AC160" i="2"/>
  <c r="AB274" i="2"/>
  <c r="W47" i="8" s="1"/>
  <c r="W46" i="8"/>
  <c r="AB249" i="2"/>
  <c r="AB250" i="2" s="1"/>
  <c r="W35" i="8"/>
  <c r="AB262" i="2"/>
  <c r="AB263" i="2" s="1"/>
  <c r="AB270" i="2" l="1"/>
  <c r="W40" i="8"/>
  <c r="AB278" i="2"/>
  <c r="AC260" i="2"/>
  <c r="AC153" i="2"/>
  <c r="AC161" i="2"/>
  <c r="AC66" i="2" s="1"/>
  <c r="AC70" i="2" l="1"/>
  <c r="AC67" i="2"/>
  <c r="AC162" i="2"/>
  <c r="W43" i="8"/>
  <c r="AC165" i="2"/>
  <c r="AC215" i="2"/>
  <c r="W51" i="8"/>
  <c r="AB279" i="2"/>
  <c r="W52" i="8" s="1"/>
  <c r="W54" i="8" l="1"/>
  <c r="AC241" i="2"/>
  <c r="X27" i="8"/>
  <c r="AB281" i="2"/>
  <c r="AC216" i="2"/>
  <c r="AC166" i="2"/>
  <c r="AC167" i="2" s="1"/>
  <c r="AC175" i="2" s="1"/>
  <c r="AB176" i="2" s="1"/>
  <c r="AB178" i="2" s="1"/>
  <c r="AC88" i="2"/>
  <c r="AC78" i="2"/>
  <c r="AC269" i="2" s="1"/>
  <c r="X42" i="8" s="1"/>
  <c r="AD64" i="2"/>
  <c r="AC208" i="2"/>
  <c r="AC123" i="2"/>
  <c r="AC195" i="2"/>
  <c r="AB124" i="2" l="1"/>
  <c r="AB127" i="2" s="1"/>
  <c r="X28" i="8"/>
  <c r="AC240" i="2"/>
  <c r="AC232" i="2"/>
  <c r="AC235" i="2" s="1"/>
  <c r="X20" i="8"/>
  <c r="AD75" i="2"/>
  <c r="X12" i="8"/>
  <c r="AC89" i="2"/>
  <c r="AB290" i="2" l="1"/>
  <c r="AB291" i="2" s="1"/>
  <c r="AB297" i="2" s="1"/>
  <c r="AB143" i="2"/>
  <c r="AB168" i="2" s="1"/>
  <c r="AB169" i="2" s="1"/>
  <c r="X13" i="8"/>
  <c r="AC93" i="2"/>
  <c r="AC94" i="2"/>
  <c r="AC96" i="2" s="1"/>
  <c r="AC98" i="2" s="1"/>
  <c r="AD85" i="2"/>
  <c r="AD76" i="2"/>
  <c r="AB144" i="2" l="1"/>
  <c r="AB145" i="2" s="1"/>
  <c r="AB184" i="2"/>
  <c r="AB188" i="2" s="1"/>
  <c r="AB292" i="2"/>
  <c r="AB298" i="2" s="1"/>
  <c r="AC126" i="2"/>
  <c r="AC210" i="2"/>
  <c r="X14" i="8"/>
  <c r="AC99" i="2"/>
  <c r="Y9" i="8"/>
  <c r="AD86" i="2"/>
  <c r="AC95" i="2"/>
  <c r="AD92" i="2" s="1"/>
  <c r="AD102" i="2" l="1"/>
  <c r="AD234" i="2" s="1"/>
  <c r="AD87" i="2"/>
  <c r="Y11" i="8" s="1"/>
  <c r="Y10" i="8"/>
  <c r="X22" i="8"/>
  <c r="AC211" i="2"/>
  <c r="X15" i="8"/>
  <c r="AC100" i="2"/>
  <c r="AC261" i="2"/>
  <c r="AC217" i="2" l="1"/>
  <c r="X23" i="8"/>
  <c r="AC149" i="2" l="1"/>
  <c r="AC154" i="2" s="1"/>
  <c r="X29" i="8"/>
  <c r="AC219" i="2" l="1"/>
  <c r="AC155" i="2"/>
  <c r="AC220" i="2" s="1"/>
  <c r="X32" i="8" l="1"/>
  <c r="AC243" i="2"/>
  <c r="AC156" i="2"/>
  <c r="X31" i="8"/>
  <c r="AC242" i="2"/>
  <c r="AC221" i="2"/>
  <c r="AC244" i="2" l="1"/>
  <c r="X33" i="8"/>
  <c r="AC223" i="2"/>
  <c r="AC224" i="2"/>
  <c r="AC273" i="2"/>
  <c r="AD151" i="2"/>
  <c r="AC267" i="2" l="1"/>
  <c r="AC225" i="2"/>
  <c r="AC227" i="2"/>
  <c r="X36" i="8" s="1"/>
  <c r="AD204" i="2"/>
  <c r="AD160" i="2"/>
  <c r="X46" i="8"/>
  <c r="AC274" i="2"/>
  <c r="X47" i="8" s="1"/>
  <c r="AC262" i="2"/>
  <c r="AC263" i="2" s="1"/>
  <c r="AC249" i="2"/>
  <c r="AC250" i="2" s="1"/>
  <c r="X35" i="8"/>
  <c r="AC278" i="2" l="1"/>
  <c r="AD260" i="2"/>
  <c r="AD153" i="2"/>
  <c r="AD161" i="2"/>
  <c r="AD66" i="2" s="1"/>
  <c r="X40" i="8"/>
  <c r="AC270" i="2"/>
  <c r="X43" i="8" l="1"/>
  <c r="AD70" i="2"/>
  <c r="AD67" i="2"/>
  <c r="AD162" i="2"/>
  <c r="AC279" i="2"/>
  <c r="X52" i="8" s="1"/>
  <c r="X51" i="8"/>
  <c r="AD165" i="2"/>
  <c r="AD215" i="2"/>
  <c r="AD241" i="2" l="1"/>
  <c r="Y27" i="8"/>
  <c r="AD195" i="2"/>
  <c r="AD208" i="2"/>
  <c r="AD123" i="2"/>
  <c r="AD88" i="2"/>
  <c r="AD166" i="2"/>
  <c r="AD167" i="2" s="1"/>
  <c r="AD175" i="2" s="1"/>
  <c r="AC176" i="2" s="1"/>
  <c r="AC178" i="2" s="1"/>
  <c r="AD216" i="2"/>
  <c r="AD78" i="2"/>
  <c r="AD269" i="2" s="1"/>
  <c r="Y42" i="8" s="1"/>
  <c r="AE64" i="2"/>
  <c r="AC281" i="2"/>
  <c r="X54" i="8"/>
  <c r="AC124" i="2" l="1"/>
  <c r="AC127" i="2" s="1"/>
  <c r="AE75" i="2"/>
  <c r="AD240" i="2"/>
  <c r="Y28" i="8"/>
  <c r="Y12" i="8"/>
  <c r="AD89" i="2"/>
  <c r="AD232" i="2"/>
  <c r="AD235" i="2" s="1"/>
  <c r="Y20" i="8"/>
  <c r="AC290" i="2" l="1"/>
  <c r="AC291" i="2" s="1"/>
  <c r="AC297" i="2" s="1"/>
  <c r="AC143" i="2"/>
  <c r="AD93" i="2"/>
  <c r="AD94" i="2"/>
  <c r="Y13" i="8"/>
  <c r="AD96" i="2"/>
  <c r="AD98" i="2" s="1"/>
  <c r="AE85" i="2"/>
  <c r="AE76" i="2"/>
  <c r="AC184" i="2"/>
  <c r="AC188" i="2" s="1"/>
  <c r="AC144" i="2"/>
  <c r="AC145" i="2" s="1"/>
  <c r="AC168" i="2"/>
  <c r="AC169" i="2" s="1"/>
  <c r="AC292" i="2" l="1"/>
  <c r="AC298" i="2" s="1"/>
  <c r="AD126" i="2"/>
  <c r="Y14" i="8"/>
  <c r="AD210" i="2"/>
  <c r="AD99" i="2"/>
  <c r="AE86" i="2"/>
  <c r="Z9" i="8"/>
  <c r="AD95" i="2"/>
  <c r="AE92" i="2" s="1"/>
  <c r="AE87" i="2" l="1"/>
  <c r="Z11" i="8" s="1"/>
  <c r="Z10" i="8"/>
  <c r="AE102" i="2"/>
  <c r="AE234" i="2" s="1"/>
  <c r="Y15" i="8"/>
  <c r="AD100" i="2"/>
  <c r="AD261" i="2"/>
  <c r="Y22" i="8"/>
  <c r="AD211" i="2"/>
  <c r="Y23" i="8" l="1"/>
  <c r="AD217" i="2"/>
  <c r="Y29" i="8" l="1"/>
  <c r="AD149" i="2"/>
  <c r="AD154" i="2" s="1"/>
  <c r="AD219" i="2" l="1"/>
  <c r="AD155" i="2"/>
  <c r="AD220" i="2" s="1"/>
  <c r="AD156" i="2"/>
  <c r="AE151" i="2" l="1"/>
  <c r="AD273" i="2"/>
  <c r="Y32" i="8"/>
  <c r="AD243" i="2"/>
  <c r="Y31" i="8"/>
  <c r="AD242" i="2"/>
  <c r="AD244" i="2" s="1"/>
  <c r="AD221" i="2"/>
  <c r="Y33" i="8" l="1"/>
  <c r="AD223" i="2"/>
  <c r="AD224" i="2" s="1"/>
  <c r="AD274" i="2"/>
  <c r="Y47" i="8" s="1"/>
  <c r="Y46" i="8"/>
  <c r="AE160" i="2"/>
  <c r="AE161" i="2" l="1"/>
  <c r="AE66" i="2" s="1"/>
  <c r="AE153" i="2"/>
  <c r="AD227" i="2"/>
  <c r="Y36" i="8" s="1"/>
  <c r="AD225" i="2"/>
  <c r="AD267" i="2"/>
  <c r="AE204" i="2"/>
  <c r="AD249" i="2"/>
  <c r="AD250" i="2" s="1"/>
  <c r="AD262" i="2"/>
  <c r="AD263" i="2" s="1"/>
  <c r="Y35" i="8"/>
  <c r="AE162" i="2" l="1"/>
  <c r="AE216" i="2"/>
  <c r="AE88" i="2"/>
  <c r="AE166" i="2"/>
  <c r="AD278" i="2"/>
  <c r="AE260" i="2"/>
  <c r="Y40" i="8"/>
  <c r="AD270" i="2"/>
  <c r="AE215" i="2"/>
  <c r="AE165" i="2"/>
  <c r="AE167" i="2" s="1"/>
  <c r="AE175" i="2" s="1"/>
  <c r="AD176" i="2" s="1"/>
  <c r="AD178" i="2" s="1"/>
  <c r="AE70" i="2"/>
  <c r="AE67" i="2"/>
  <c r="AD124" i="2" l="1"/>
  <c r="AD127" i="2" s="1"/>
  <c r="Y43" i="8"/>
  <c r="AD279" i="2"/>
  <c r="Y52" i="8" s="1"/>
  <c r="Y51" i="8"/>
  <c r="Z12" i="8"/>
  <c r="AE89" i="2"/>
  <c r="AE240" i="2"/>
  <c r="Z28" i="8"/>
  <c r="AE78" i="2"/>
  <c r="AE269" i="2" s="1"/>
  <c r="Z42" i="8" s="1"/>
  <c r="AF64" i="2"/>
  <c r="AE195" i="2"/>
  <c r="AE208" i="2"/>
  <c r="AE123" i="2"/>
  <c r="AE241" i="2"/>
  <c r="Z27" i="8"/>
  <c r="AD290" i="2" l="1"/>
  <c r="AD291" i="2" s="1"/>
  <c r="AD297" i="2" s="1"/>
  <c r="AD143" i="2"/>
  <c r="AF75" i="2"/>
  <c r="AE232" i="2"/>
  <c r="AE235" i="2" s="1"/>
  <c r="Z20" i="8"/>
  <c r="AE93" i="2"/>
  <c r="AE94" i="2"/>
  <c r="AE96" i="2" s="1"/>
  <c r="AE98" i="2" s="1"/>
  <c r="Z13" i="8"/>
  <c r="AD168" i="2"/>
  <c r="AD169" i="2" s="1"/>
  <c r="AD184" i="2"/>
  <c r="AD188" i="2" s="1"/>
  <c r="AD144" i="2"/>
  <c r="AD145" i="2" s="1"/>
  <c r="Y54" i="8"/>
  <c r="AD281" i="2"/>
  <c r="AE210" i="2" l="1"/>
  <c r="AE126" i="2"/>
  <c r="Z14" i="8"/>
  <c r="AE99" i="2"/>
  <c r="AF85" i="2"/>
  <c r="AF76" i="2"/>
  <c r="AD292" i="2"/>
  <c r="AD298" i="2" s="1"/>
  <c r="AE95" i="2"/>
  <c r="AF92" i="2" s="1"/>
  <c r="AA9" i="8" l="1"/>
  <c r="AF86" i="2"/>
  <c r="AE261" i="2"/>
  <c r="Z15" i="8"/>
  <c r="AE100" i="2"/>
  <c r="Z22" i="8"/>
  <c r="AE211" i="2"/>
  <c r="AF87" i="2" l="1"/>
  <c r="AA11" i="8" s="1"/>
  <c r="AF102" i="2"/>
  <c r="AF234" i="2" s="1"/>
  <c r="AA10" i="8"/>
  <c r="AE217" i="2"/>
  <c r="Z23" i="8"/>
  <c r="AE149" i="2" l="1"/>
  <c r="AE154" i="2" s="1"/>
  <c r="Z29" i="8"/>
  <c r="AE219" i="2" l="1"/>
  <c r="AE155" i="2"/>
  <c r="AE220" i="2" s="1"/>
  <c r="AE156" i="2"/>
  <c r="AF151" i="2" l="1"/>
  <c r="AE273" i="2"/>
  <c r="Z32" i="8"/>
  <c r="AE243" i="2"/>
  <c r="Z31" i="8"/>
  <c r="AE242" i="2"/>
  <c r="AE244" i="2" s="1"/>
  <c r="AE221" i="2"/>
  <c r="AE223" i="2" l="1"/>
  <c r="Z33" i="8"/>
  <c r="AE224" i="2"/>
  <c r="AE274" i="2"/>
  <c r="Z47" i="8" s="1"/>
  <c r="Z46" i="8"/>
  <c r="AF160" i="2"/>
  <c r="AF161" i="2" l="1"/>
  <c r="AF66" i="2" s="1"/>
  <c r="AF162" i="2"/>
  <c r="AF153" i="2"/>
  <c r="AE225" i="2"/>
  <c r="AE227" i="2"/>
  <c r="Z36" i="8" s="1"/>
  <c r="AE267" i="2"/>
  <c r="AF204" i="2"/>
  <c r="AE262" i="2"/>
  <c r="AE263" i="2" s="1"/>
  <c r="Z35" i="8"/>
  <c r="AE249" i="2"/>
  <c r="AE250" i="2" s="1"/>
  <c r="AE278" i="2" l="1"/>
  <c r="AF260" i="2"/>
  <c r="Z40" i="8"/>
  <c r="AE270" i="2"/>
  <c r="AF215" i="2"/>
  <c r="AF165" i="2"/>
  <c r="AF216" i="2"/>
  <c r="AF88" i="2"/>
  <c r="AF166" i="2"/>
  <c r="AF70" i="2"/>
  <c r="AF67" i="2"/>
  <c r="AF167" i="2" l="1"/>
  <c r="AF175" i="2" s="1"/>
  <c r="AE176" i="2" s="1"/>
  <c r="AE178" i="2" s="1"/>
  <c r="AA28" i="8"/>
  <c r="AF240" i="2"/>
  <c r="AA27" i="8"/>
  <c r="AF241" i="2"/>
  <c r="Z43" i="8"/>
  <c r="AF78" i="2"/>
  <c r="AF269" i="2" s="1"/>
  <c r="AA42" i="8" s="1"/>
  <c r="AG64" i="2"/>
  <c r="AF208" i="2"/>
  <c r="AF195" i="2"/>
  <c r="AF123" i="2"/>
  <c r="AA12" i="8"/>
  <c r="AF89" i="2"/>
  <c r="Z51" i="8"/>
  <c r="AE279" i="2"/>
  <c r="Z52" i="8" s="1"/>
  <c r="AE124" i="2" l="1"/>
  <c r="AE127" i="2" s="1"/>
  <c r="AE281" i="2"/>
  <c r="AA13" i="8"/>
  <c r="AF94" i="2"/>
  <c r="AF96" i="2" s="1"/>
  <c r="AF98" i="2" s="1"/>
  <c r="AF93" i="2"/>
  <c r="AF95" i="2" s="1"/>
  <c r="AG92" i="2" s="1"/>
  <c r="AF232" i="2"/>
  <c r="AF235" i="2" s="1"/>
  <c r="AA20" i="8"/>
  <c r="AG75" i="2"/>
  <c r="Z54" i="8"/>
  <c r="AE143" i="2" l="1"/>
  <c r="AE290" i="2"/>
  <c r="AE291" i="2" s="1"/>
  <c r="AE297" i="2" s="1"/>
  <c r="AF210" i="2"/>
  <c r="AF126" i="2"/>
  <c r="AA14" i="8"/>
  <c r="AF99" i="2"/>
  <c r="AG85" i="2"/>
  <c r="AG76" i="2"/>
  <c r="AE292" i="2"/>
  <c r="AE298" i="2" s="1"/>
  <c r="AE168" i="2" l="1"/>
  <c r="AE169" i="2" s="1"/>
  <c r="AE184" i="2"/>
  <c r="AE188" i="2" s="1"/>
  <c r="AE144" i="2"/>
  <c r="AE145" i="2" s="1"/>
  <c r="AF100" i="2"/>
  <c r="AA15" i="8"/>
  <c r="AF261" i="2"/>
  <c r="AB9" i="8"/>
  <c r="AG86" i="2"/>
  <c r="AA22" i="8"/>
  <c r="AF211" i="2"/>
  <c r="AF217" i="2" l="1"/>
  <c r="AA23" i="8"/>
  <c r="AG102" i="2"/>
  <c r="AG234" i="2" s="1"/>
  <c r="AG87" i="2"/>
  <c r="AB11" i="8" s="1"/>
  <c r="AB10" i="8"/>
  <c r="AA29" i="8" l="1"/>
  <c r="AF149" i="2"/>
  <c r="AF154" i="2" s="1"/>
  <c r="AF219" i="2" l="1"/>
  <c r="AF155" i="2"/>
  <c r="AF220" i="2" s="1"/>
  <c r="AA32" i="8" l="1"/>
  <c r="AF243" i="2"/>
  <c r="AF156" i="2"/>
  <c r="AA31" i="8"/>
  <c r="AF242" i="2"/>
  <c r="AF244" i="2" s="1"/>
  <c r="AF221" i="2"/>
  <c r="AF223" i="2" l="1"/>
  <c r="AF224" i="2" s="1"/>
  <c r="AA33" i="8"/>
  <c r="AF273" i="2"/>
  <c r="AG151" i="2"/>
  <c r="AG160" i="2" l="1"/>
  <c r="AA46" i="8"/>
  <c r="AF274" i="2"/>
  <c r="AA47" i="8" s="1"/>
  <c r="AF227" i="2"/>
  <c r="AA36" i="8" s="1"/>
  <c r="AF267" i="2"/>
  <c r="AF225" i="2"/>
  <c r="AG204" i="2"/>
  <c r="AA35" i="8"/>
  <c r="AF262" i="2"/>
  <c r="AF263" i="2" s="1"/>
  <c r="AF249" i="2"/>
  <c r="AF250" i="2" s="1"/>
  <c r="AA40" i="8" l="1"/>
  <c r="AF270" i="2"/>
  <c r="AF278" i="2"/>
  <c r="AG260" i="2"/>
  <c r="AG161" i="2"/>
  <c r="AG66" i="2" s="1"/>
  <c r="AG153" i="2"/>
  <c r="AG70" i="2" l="1"/>
  <c r="AG67" i="2"/>
  <c r="AG165" i="2"/>
  <c r="AG215" i="2"/>
  <c r="AG162" i="2"/>
  <c r="AA51" i="8"/>
  <c r="AF279" i="2"/>
  <c r="AA52" i="8" s="1"/>
  <c r="AA43" i="8"/>
  <c r="AA54" i="8" l="1"/>
  <c r="AF281" i="2"/>
  <c r="AG88" i="2"/>
  <c r="AG166" i="2"/>
  <c r="AG216" i="2"/>
  <c r="AB27" i="8"/>
  <c r="AG241" i="2"/>
  <c r="AG167" i="2"/>
  <c r="AG175" i="2" s="1"/>
  <c r="AF176" i="2" s="1"/>
  <c r="AF178" i="2" s="1"/>
  <c r="AG78" i="2"/>
  <c r="AG269" i="2" s="1"/>
  <c r="AB42" i="8" s="1"/>
  <c r="AH64" i="2"/>
  <c r="AG195" i="2"/>
  <c r="AG208" i="2"/>
  <c r="AG123" i="2"/>
  <c r="AF124" i="2" l="1"/>
  <c r="AF127" i="2" s="1"/>
  <c r="AG232" i="2"/>
  <c r="AG235" i="2" s="1"/>
  <c r="AB20" i="8"/>
  <c r="AH75" i="2"/>
  <c r="AB28" i="8"/>
  <c r="AG240" i="2"/>
  <c r="AB12" i="8"/>
  <c r="AG89" i="2"/>
  <c r="AF143" i="2" l="1"/>
  <c r="AF184" i="2" s="1"/>
  <c r="AF188" i="2" s="1"/>
  <c r="AF290" i="2"/>
  <c r="AF291" i="2" s="1"/>
  <c r="AF297" i="2" s="1"/>
  <c r="AG93" i="2"/>
  <c r="AB13" i="8"/>
  <c r="AG94" i="2"/>
  <c r="AG96" i="2" s="1"/>
  <c r="AG98" i="2" s="1"/>
  <c r="AH85" i="2"/>
  <c r="AH76" i="2"/>
  <c r="AF168" i="2" l="1"/>
  <c r="AF169" i="2" s="1"/>
  <c r="AF144" i="2"/>
  <c r="AF145" i="2" s="1"/>
  <c r="AF292" i="2"/>
  <c r="AF298" i="2" s="1"/>
  <c r="AG210" i="2"/>
  <c r="AG126" i="2"/>
  <c r="AB14" i="8"/>
  <c r="AG99" i="2"/>
  <c r="AC9" i="8"/>
  <c r="AH86" i="2"/>
  <c r="AG95" i="2"/>
  <c r="AH92" i="2" s="1"/>
  <c r="AC10" i="8" l="1"/>
  <c r="AH87" i="2"/>
  <c r="AC11" i="8" s="1"/>
  <c r="AH102" i="2"/>
  <c r="AH234" i="2" s="1"/>
  <c r="AB15" i="8"/>
  <c r="AG261" i="2"/>
  <c r="AG100" i="2"/>
  <c r="AB22" i="8"/>
  <c r="AG211" i="2"/>
  <c r="AB23" i="8" l="1"/>
  <c r="AG217" i="2"/>
  <c r="AG149" i="2" l="1"/>
  <c r="AG154" i="2" s="1"/>
  <c r="AB29" i="8"/>
  <c r="AG219" i="2" l="1"/>
  <c r="AG155" i="2"/>
  <c r="AG220" i="2" s="1"/>
  <c r="AG156" i="2"/>
  <c r="AG273" i="2" l="1"/>
  <c r="AH151" i="2"/>
  <c r="AG243" i="2"/>
  <c r="AB32" i="8"/>
  <c r="AG242" i="2"/>
  <c r="AG244" i="2" s="1"/>
  <c r="AB31" i="8"/>
  <c r="AG221" i="2"/>
  <c r="AG223" i="2" l="1"/>
  <c r="AB33" i="8"/>
  <c r="AG224" i="2"/>
  <c r="AH160" i="2"/>
  <c r="AG274" i="2"/>
  <c r="AB47" i="8" s="1"/>
  <c r="AB46" i="8"/>
  <c r="AH161" i="2" l="1"/>
  <c r="AH66" i="2" s="1"/>
  <c r="AH162" i="2"/>
  <c r="AH153" i="2"/>
  <c r="AG227" i="2"/>
  <c r="AB36" i="8" s="1"/>
  <c r="AG225" i="2"/>
  <c r="AG267" i="2"/>
  <c r="AH204" i="2"/>
  <c r="AG249" i="2"/>
  <c r="AG250" i="2" s="1"/>
  <c r="AB35" i="8"/>
  <c r="AG262" i="2"/>
  <c r="AG263" i="2" s="1"/>
  <c r="AG278" i="2" l="1"/>
  <c r="AH260" i="2"/>
  <c r="AB40" i="8"/>
  <c r="AG270" i="2"/>
  <c r="AH216" i="2"/>
  <c r="AH88" i="2"/>
  <c r="AH166" i="2"/>
  <c r="AH215" i="2"/>
  <c r="AH165" i="2"/>
  <c r="AH167" i="2" s="1"/>
  <c r="AH175" i="2" s="1"/>
  <c r="AG176" i="2" s="1"/>
  <c r="AG178" i="2" s="1"/>
  <c r="AH70" i="2"/>
  <c r="AH67" i="2"/>
  <c r="AG124" i="2" l="1"/>
  <c r="AG127" i="2" s="1"/>
  <c r="AH195" i="2"/>
  <c r="AH208" i="2"/>
  <c r="AH123" i="2"/>
  <c r="AH78" i="2"/>
  <c r="AH269" i="2" s="1"/>
  <c r="AC42" i="8" s="1"/>
  <c r="AI64" i="2"/>
  <c r="AC27" i="8"/>
  <c r="AH241" i="2"/>
  <c r="AC12" i="8"/>
  <c r="AH89" i="2"/>
  <c r="AB43" i="8"/>
  <c r="AG279" i="2"/>
  <c r="AB52" i="8" s="1"/>
  <c r="AB51" i="8"/>
  <c r="AC28" i="8"/>
  <c r="AH240" i="2"/>
  <c r="AG290" i="2" l="1"/>
  <c r="AG291" i="2" s="1"/>
  <c r="AG297" i="2" s="1"/>
  <c r="AG143" i="2"/>
  <c r="AG184" i="2" s="1"/>
  <c r="AG188" i="2" s="1"/>
  <c r="AG281" i="2"/>
  <c r="AH93" i="2"/>
  <c r="AC13" i="8"/>
  <c r="AH94" i="2"/>
  <c r="AH96" i="2" s="1"/>
  <c r="AH98" i="2" s="1"/>
  <c r="AB54" i="8"/>
  <c r="AI75" i="2"/>
  <c r="AC20" i="8"/>
  <c r="AH232" i="2"/>
  <c r="AH235" i="2" s="1"/>
  <c r="AG168" i="2" l="1"/>
  <c r="AG169" i="2" s="1"/>
  <c r="AG144" i="2"/>
  <c r="AG145" i="2" s="1"/>
  <c r="AG292" i="2"/>
  <c r="AG298" i="2" s="1"/>
  <c r="AH210" i="2"/>
  <c r="AH126" i="2"/>
  <c r="AC14" i="8"/>
  <c r="AH99" i="2"/>
  <c r="AH95" i="2"/>
  <c r="AI92" i="2" s="1"/>
  <c r="AI85" i="2"/>
  <c r="AI76" i="2"/>
  <c r="AD9" i="8" l="1"/>
  <c r="AI86" i="2"/>
  <c r="AH261" i="2"/>
  <c r="AC15" i="8"/>
  <c r="AH100" i="2"/>
  <c r="AC22" i="8"/>
  <c r="AH211" i="2"/>
  <c r="AI102" i="2" l="1"/>
  <c r="AI234" i="2" s="1"/>
  <c r="AD10" i="8"/>
  <c r="AI87" i="2"/>
  <c r="AD11" i="8" s="1"/>
  <c r="AH217" i="2"/>
  <c r="AC23" i="8"/>
  <c r="AC29" i="8" l="1"/>
  <c r="AH149" i="2"/>
  <c r="AH154" i="2" s="1"/>
  <c r="AH219" i="2" l="1"/>
  <c r="AH155" i="2"/>
  <c r="AH220" i="2" s="1"/>
  <c r="AH243" i="2" l="1"/>
  <c r="AC32" i="8"/>
  <c r="AH156" i="2"/>
  <c r="AC31" i="8"/>
  <c r="AH242" i="2"/>
  <c r="AH244" i="2" s="1"/>
  <c r="AH221" i="2"/>
  <c r="AH223" i="2" l="1"/>
  <c r="AC33" i="8"/>
  <c r="AH273" i="2"/>
  <c r="AI151" i="2"/>
  <c r="AH262" i="2" l="1"/>
  <c r="AH263" i="2" s="1"/>
  <c r="AH249" i="2"/>
  <c r="AH250" i="2" s="1"/>
  <c r="AC35" i="8"/>
  <c r="AI160" i="2"/>
  <c r="AC46" i="8"/>
  <c r="AH274" i="2"/>
  <c r="AC47" i="8" s="1"/>
  <c r="AH224" i="2"/>
  <c r="AH227" i="2" l="1"/>
  <c r="AC36" i="8" s="1"/>
  <c r="AH225" i="2"/>
  <c r="AH267" i="2"/>
  <c r="AI204" i="2"/>
  <c r="AI153" i="2"/>
  <c r="AI161" i="2"/>
  <c r="AI66" i="2" s="1"/>
  <c r="AH278" i="2"/>
  <c r="AI260" i="2"/>
  <c r="AC51" i="8" l="1"/>
  <c r="AH279" i="2"/>
  <c r="AC52" i="8" s="1"/>
  <c r="AI70" i="2"/>
  <c r="AI67" i="2"/>
  <c r="AI162" i="2"/>
  <c r="AI215" i="2"/>
  <c r="AI165" i="2"/>
  <c r="AC40" i="8"/>
  <c r="AH270" i="2"/>
  <c r="AC43" i="8" l="1"/>
  <c r="AC54" i="8" s="1"/>
  <c r="AH281" i="2"/>
  <c r="AI241" i="2"/>
  <c r="AD27" i="8"/>
  <c r="AI88" i="2"/>
  <c r="AI216" i="2"/>
  <c r="AI166" i="2"/>
  <c r="AI167" i="2" s="1"/>
  <c r="AI175" i="2" s="1"/>
  <c r="AH176" i="2" s="1"/>
  <c r="AH178" i="2" s="1"/>
  <c r="AJ64" i="2"/>
  <c r="AI78" i="2"/>
  <c r="AI269" i="2" s="1"/>
  <c r="AD42" i="8" s="1"/>
  <c r="AI195" i="2"/>
  <c r="AI208" i="2"/>
  <c r="AI123" i="2"/>
  <c r="AH124" i="2" l="1"/>
  <c r="AH127" i="2" s="1"/>
  <c r="AI232" i="2"/>
  <c r="AI235" i="2" s="1"/>
  <c r="AD20" i="8"/>
  <c r="AJ75" i="2"/>
  <c r="AI240" i="2"/>
  <c r="AD28" i="8"/>
  <c r="AD12" i="8"/>
  <c r="AI89" i="2"/>
  <c r="AH143" i="2" l="1"/>
  <c r="AH184" i="2" s="1"/>
  <c r="AH188" i="2" s="1"/>
  <c r="AH290" i="2"/>
  <c r="AH291" i="2" s="1"/>
  <c r="AI94" i="2"/>
  <c r="AI96" i="2" s="1"/>
  <c r="AI98" i="2" s="1"/>
  <c r="AD13" i="8"/>
  <c r="AI93" i="2"/>
  <c r="AI95" i="2" s="1"/>
  <c r="AJ92" i="2" s="1"/>
  <c r="AJ85" i="2"/>
  <c r="AJ76" i="2"/>
  <c r="AH297" i="2" l="1"/>
  <c r="AH292" i="2"/>
  <c r="AH298" i="2" s="1"/>
  <c r="AH168" i="2"/>
  <c r="AH169" i="2" s="1"/>
  <c r="AH144" i="2"/>
  <c r="AH145" i="2" s="1"/>
  <c r="AI210" i="2"/>
  <c r="AI126" i="2"/>
  <c r="AD14" i="8"/>
  <c r="AI99" i="2"/>
  <c r="AJ86" i="2"/>
  <c r="AE9" i="8"/>
  <c r="AJ102" i="2" l="1"/>
  <c r="AJ234" i="2" s="1"/>
  <c r="AE10" i="8"/>
  <c r="AJ87" i="2"/>
  <c r="AE11" i="8" s="1"/>
  <c r="AD15" i="8"/>
  <c r="AI100" i="2"/>
  <c r="AI261" i="2"/>
  <c r="AD22" i="8"/>
  <c r="AI211" i="2"/>
  <c r="AD23" i="8" l="1"/>
  <c r="AI217" i="2"/>
  <c r="AI149" i="2" l="1"/>
  <c r="AI154" i="2" s="1"/>
  <c r="AD29" i="8"/>
  <c r="AI219" i="2" l="1"/>
  <c r="AI155" i="2"/>
  <c r="AI220" i="2" s="1"/>
  <c r="AI156" i="2"/>
  <c r="AI273" i="2" l="1"/>
  <c r="AJ151" i="2"/>
  <c r="AD32" i="8"/>
  <c r="AI243" i="2"/>
  <c r="AD31" i="8"/>
  <c r="AI242" i="2"/>
  <c r="AI244" i="2" s="1"/>
  <c r="AI221" i="2"/>
  <c r="AD33" i="8" l="1"/>
  <c r="AI223" i="2"/>
  <c r="AJ160" i="2"/>
  <c r="AD46" i="8"/>
  <c r="AI274" i="2"/>
  <c r="AD47" i="8" s="1"/>
  <c r="AI249" i="2" l="1"/>
  <c r="AI250" i="2" s="1"/>
  <c r="AI262" i="2"/>
  <c r="AI263" i="2" s="1"/>
  <c r="AD35" i="8"/>
  <c r="AJ153" i="2"/>
  <c r="AJ161" i="2"/>
  <c r="AJ66" i="2" s="1"/>
  <c r="AJ162" i="2"/>
  <c r="AI224" i="2"/>
  <c r="AJ215" i="2" l="1"/>
  <c r="AJ165" i="2"/>
  <c r="AI227" i="2"/>
  <c r="AD36" i="8" s="1"/>
  <c r="AI225" i="2"/>
  <c r="AJ204" i="2"/>
  <c r="AI267" i="2"/>
  <c r="AJ88" i="2"/>
  <c r="AJ216" i="2"/>
  <c r="AJ166" i="2"/>
  <c r="AJ70" i="2"/>
  <c r="AJ67" i="2"/>
  <c r="AI278" i="2"/>
  <c r="AJ260" i="2"/>
  <c r="AD51" i="8" l="1"/>
  <c r="AI279" i="2"/>
  <c r="AD52" i="8" s="1"/>
  <c r="AJ208" i="2"/>
  <c r="AJ195" i="2"/>
  <c r="AJ123" i="2"/>
  <c r="AE28" i="8"/>
  <c r="AJ240" i="2"/>
  <c r="AJ167" i="2"/>
  <c r="AJ175" i="2" s="1"/>
  <c r="AI176" i="2" s="1"/>
  <c r="AI178" i="2" s="1"/>
  <c r="AJ78" i="2"/>
  <c r="AJ269" i="2" s="1"/>
  <c r="AE42" i="8" s="1"/>
  <c r="AK64" i="2"/>
  <c r="AE12" i="8"/>
  <c r="AJ89" i="2"/>
  <c r="AD40" i="8"/>
  <c r="AI270" i="2"/>
  <c r="AE27" i="8"/>
  <c r="AJ241" i="2"/>
  <c r="AI124" i="2" l="1"/>
  <c r="AI127" i="2" s="1"/>
  <c r="AI290" i="2" s="1"/>
  <c r="AK75" i="2"/>
  <c r="AD43" i="8"/>
  <c r="AD54" i="8" s="1"/>
  <c r="AI281" i="2"/>
  <c r="AJ93" i="2"/>
  <c r="AE13" i="8"/>
  <c r="AJ94" i="2"/>
  <c r="AJ96" i="2" s="1"/>
  <c r="AJ98" i="2" s="1"/>
  <c r="AE20" i="8"/>
  <c r="AJ232" i="2"/>
  <c r="AJ235" i="2" s="1"/>
  <c r="AI143" i="2" l="1"/>
  <c r="AI168" i="2" s="1"/>
  <c r="AI169" i="2" s="1"/>
  <c r="AJ210" i="2"/>
  <c r="AE14" i="8"/>
  <c r="AJ126" i="2"/>
  <c r="AJ99" i="2"/>
  <c r="AI291" i="2"/>
  <c r="AI297" i="2" s="1"/>
  <c r="AJ95" i="2"/>
  <c r="AK92" i="2" s="1"/>
  <c r="AK85" i="2"/>
  <c r="AK76" i="2"/>
  <c r="AI184" i="2" l="1"/>
  <c r="AI188" i="2" s="1"/>
  <c r="AI144" i="2"/>
  <c r="AI145" i="2" s="1"/>
  <c r="AI292" i="2"/>
  <c r="AI298" i="2" s="1"/>
  <c r="AF9" i="8"/>
  <c r="AK86" i="2"/>
  <c r="AE15" i="8"/>
  <c r="AJ261" i="2"/>
  <c r="AJ100" i="2"/>
  <c r="AE22" i="8"/>
  <c r="AJ211" i="2"/>
  <c r="AE23" i="8" l="1"/>
  <c r="AJ217" i="2"/>
  <c r="AF10" i="8"/>
  <c r="AK102" i="2"/>
  <c r="AK234" i="2" s="1"/>
  <c r="AK87" i="2"/>
  <c r="AF11" i="8" s="1"/>
  <c r="AJ149" i="2" l="1"/>
  <c r="AJ154" i="2" s="1"/>
  <c r="AE29" i="8"/>
  <c r="AJ219" i="2" l="1"/>
  <c r="AJ155" i="2"/>
  <c r="AJ220" i="2" s="1"/>
  <c r="AJ156" i="2" l="1"/>
  <c r="AJ273" i="2"/>
  <c r="AK151" i="2"/>
  <c r="AJ243" i="2"/>
  <c r="AE32" i="8"/>
  <c r="AE31" i="8"/>
  <c r="AJ242" i="2"/>
  <c r="AJ244" i="2" s="1"/>
  <c r="AJ221" i="2"/>
  <c r="AE33" i="8" l="1"/>
  <c r="AJ223" i="2"/>
  <c r="AJ224" i="2" s="1"/>
  <c r="AK160" i="2"/>
  <c r="AJ274" i="2"/>
  <c r="AE47" i="8" s="1"/>
  <c r="AE46" i="8"/>
  <c r="AJ225" i="2" l="1"/>
  <c r="AJ227" i="2"/>
  <c r="AE36" i="8" s="1"/>
  <c r="AJ267" i="2"/>
  <c r="AK204" i="2"/>
  <c r="AK153" i="2"/>
  <c r="AK161" i="2"/>
  <c r="AK66" i="2" s="1"/>
  <c r="AJ249" i="2"/>
  <c r="AJ250" i="2" s="1"/>
  <c r="AJ262" i="2"/>
  <c r="AJ263" i="2" s="1"/>
  <c r="AE35" i="8"/>
  <c r="AJ278" i="2" l="1"/>
  <c r="AK260" i="2"/>
  <c r="AK165" i="2"/>
  <c r="AK215" i="2"/>
  <c r="AK70" i="2"/>
  <c r="AK67" i="2"/>
  <c r="AK162" i="2"/>
  <c r="AE40" i="8"/>
  <c r="AJ270" i="2"/>
  <c r="AK78" i="2" l="1"/>
  <c r="AK269" i="2" s="1"/>
  <c r="AF42" i="8" s="1"/>
  <c r="AL64" i="2"/>
  <c r="AE43" i="8"/>
  <c r="AK216" i="2"/>
  <c r="AK166" i="2"/>
  <c r="AK88" i="2"/>
  <c r="AK195" i="2"/>
  <c r="AK123" i="2"/>
  <c r="AK208" i="2"/>
  <c r="AK241" i="2"/>
  <c r="AF27" i="8"/>
  <c r="AK167" i="2"/>
  <c r="AK175" i="2" s="1"/>
  <c r="AJ176" i="2" s="1"/>
  <c r="AJ178" i="2" s="1"/>
  <c r="AJ279" i="2"/>
  <c r="AE52" i="8" s="1"/>
  <c r="AE51" i="8"/>
  <c r="AJ124" i="2" l="1"/>
  <c r="AJ127" i="2" s="1"/>
  <c r="AF12" i="8"/>
  <c r="AK89" i="2"/>
  <c r="AF28" i="8"/>
  <c r="AK240" i="2"/>
  <c r="AJ281" i="2"/>
  <c r="AL75" i="2"/>
  <c r="AK232" i="2"/>
  <c r="AK235" i="2" s="1"/>
  <c r="AF20" i="8"/>
  <c r="AE54" i="8"/>
  <c r="AJ143" i="2" l="1"/>
  <c r="AJ144" i="2" s="1"/>
  <c r="AJ145" i="2" s="1"/>
  <c r="AJ290" i="2"/>
  <c r="AJ291" i="2" s="1"/>
  <c r="AL85" i="2"/>
  <c r="AL76" i="2"/>
  <c r="AF13" i="8"/>
  <c r="AK93" i="2"/>
  <c r="AK94" i="2"/>
  <c r="AK96" i="2" s="1"/>
  <c r="AK98" i="2" s="1"/>
  <c r="AJ168" i="2"/>
  <c r="AJ169" i="2" s="1"/>
  <c r="AJ184" i="2"/>
  <c r="AJ188" i="2" s="1"/>
  <c r="AJ297" i="2" l="1"/>
  <c r="AJ292" i="2"/>
  <c r="AJ298" i="2" s="1"/>
  <c r="AK126" i="2"/>
  <c r="AF14" i="8"/>
  <c r="AK210" i="2"/>
  <c r="AK99" i="2"/>
  <c r="AK95" i="2"/>
  <c r="AL92" i="2" s="1"/>
  <c r="AG9" i="8"/>
  <c r="AL86" i="2"/>
  <c r="AL102" i="2" l="1"/>
  <c r="AL234" i="2" s="1"/>
  <c r="AL87" i="2"/>
  <c r="AG11" i="8" s="1"/>
  <c r="AG10" i="8"/>
  <c r="AF15" i="8"/>
  <c r="AK261" i="2"/>
  <c r="AK100" i="2"/>
  <c r="AF22" i="8"/>
  <c r="AK211" i="2"/>
  <c r="AF23" i="8" l="1"/>
  <c r="AK217" i="2"/>
  <c r="AK149" i="2" l="1"/>
  <c r="AK154" i="2" s="1"/>
  <c r="AF29" i="8"/>
  <c r="AK219" i="2" l="1"/>
  <c r="AK155" i="2"/>
  <c r="AK220" i="2" s="1"/>
  <c r="AK243" i="2" l="1"/>
  <c r="AF32" i="8"/>
  <c r="AK156" i="2"/>
  <c r="AK242" i="2"/>
  <c r="AF31" i="8"/>
  <c r="AK221" i="2"/>
  <c r="AK244" i="2" l="1"/>
  <c r="AK273" i="2"/>
  <c r="AL151" i="2"/>
  <c r="AK223" i="2"/>
  <c r="AF33" i="8"/>
  <c r="AK224" i="2"/>
  <c r="AK227" i="2" l="1"/>
  <c r="AF36" i="8" s="1"/>
  <c r="AL204" i="2"/>
  <c r="AK225" i="2"/>
  <c r="AK267" i="2"/>
  <c r="AF35" i="8"/>
  <c r="AK249" i="2"/>
  <c r="AK250" i="2" s="1"/>
  <c r="AK262" i="2"/>
  <c r="AK263" i="2" s="1"/>
  <c r="AL160" i="2"/>
  <c r="AK274" i="2"/>
  <c r="AF47" i="8" s="1"/>
  <c r="AF46" i="8"/>
  <c r="AL161" i="2" l="1"/>
  <c r="AL66" i="2" s="1"/>
  <c r="AL153" i="2"/>
  <c r="AK278" i="2"/>
  <c r="AL260" i="2"/>
  <c r="AF40" i="8"/>
  <c r="AK270" i="2"/>
  <c r="AF43" i="8" l="1"/>
  <c r="AK279" i="2"/>
  <c r="AF52" i="8" s="1"/>
  <c r="AF51" i="8"/>
  <c r="AL215" i="2"/>
  <c r="AL165" i="2"/>
  <c r="AL70" i="2"/>
  <c r="AL67" i="2"/>
  <c r="AL162" i="2"/>
  <c r="AL166" i="2" l="1"/>
  <c r="AL167" i="2" s="1"/>
  <c r="AL175" i="2" s="1"/>
  <c r="AK176" i="2" s="1"/>
  <c r="AK178" i="2" s="1"/>
  <c r="AL216" i="2"/>
  <c r="AL88" i="2"/>
  <c r="AL208" i="2"/>
  <c r="AL195" i="2"/>
  <c r="AL123" i="2"/>
  <c r="AK281" i="2"/>
  <c r="AL78" i="2"/>
  <c r="AL269" i="2" s="1"/>
  <c r="AG42" i="8" s="1"/>
  <c r="AM64" i="2"/>
  <c r="AG27" i="8"/>
  <c r="AL241" i="2"/>
  <c r="AF54" i="8"/>
  <c r="AK124" i="2" l="1"/>
  <c r="AK127" i="2" s="1"/>
  <c r="AM75" i="2"/>
  <c r="AL240" i="2"/>
  <c r="AG28" i="8"/>
  <c r="AL232" i="2"/>
  <c r="AL235" i="2" s="1"/>
  <c r="AG20" i="8"/>
  <c r="AG12" i="8"/>
  <c r="AL89" i="2"/>
  <c r="AK143" i="2" l="1"/>
  <c r="AK184" i="2" s="1"/>
  <c r="AK188" i="2" s="1"/>
  <c r="AK290" i="2"/>
  <c r="AK291" i="2" s="1"/>
  <c r="AK297" i="2" s="1"/>
  <c r="AG13" i="8"/>
  <c r="AL93" i="2"/>
  <c r="AL94" i="2"/>
  <c r="AL96" i="2" s="1"/>
  <c r="AL98" i="2" s="1"/>
  <c r="AM85" i="2"/>
  <c r="AM76" i="2"/>
  <c r="AK292" i="2" l="1"/>
  <c r="AK298" i="2" s="1"/>
  <c r="AK144" i="2"/>
  <c r="AK145" i="2" s="1"/>
  <c r="AK168" i="2"/>
  <c r="AK169" i="2" s="1"/>
  <c r="AL126" i="2"/>
  <c r="AG14" i="8"/>
  <c r="AL210" i="2"/>
  <c r="AL99" i="2"/>
  <c r="AH9" i="8"/>
  <c r="AM86" i="2"/>
  <c r="AL95" i="2"/>
  <c r="AM92" i="2" s="1"/>
  <c r="AM102" i="2" l="1"/>
  <c r="AM234" i="2" s="1"/>
  <c r="AH10" i="8"/>
  <c r="AM87" i="2"/>
  <c r="AH11" i="8" s="1"/>
  <c r="AL261" i="2"/>
  <c r="AG15" i="8"/>
  <c r="AL100" i="2"/>
  <c r="AG22" i="8"/>
  <c r="AL211" i="2"/>
  <c r="AG23" i="8" l="1"/>
  <c r="AL217" i="2"/>
  <c r="AG29" i="8" l="1"/>
  <c r="AL149" i="2"/>
  <c r="AL154" i="2" s="1"/>
  <c r="AL219" i="2" l="1"/>
  <c r="AL155" i="2"/>
  <c r="AL220" i="2" s="1"/>
  <c r="AL243" i="2" l="1"/>
  <c r="AG32" i="8"/>
  <c r="AL156" i="2"/>
  <c r="AG31" i="8"/>
  <c r="AL242" i="2"/>
  <c r="AL244" i="2" s="1"/>
  <c r="AL221" i="2"/>
  <c r="AG33" i="8" l="1"/>
  <c r="AL223" i="2"/>
  <c r="AL224" i="2" s="1"/>
  <c r="AL273" i="2"/>
  <c r="AM151" i="2"/>
  <c r="AL267" i="2" l="1"/>
  <c r="AL225" i="2"/>
  <c r="AL227" i="2"/>
  <c r="AG36" i="8" s="1"/>
  <c r="AM204" i="2"/>
  <c r="AM160" i="2"/>
  <c r="AL274" i="2"/>
  <c r="AG47" i="8" s="1"/>
  <c r="AG46" i="8"/>
  <c r="AL249" i="2"/>
  <c r="AL250" i="2" s="1"/>
  <c r="AL262" i="2"/>
  <c r="AL263" i="2" s="1"/>
  <c r="AG35" i="8"/>
  <c r="AL278" i="2" l="1"/>
  <c r="AM260" i="2"/>
  <c r="AM153" i="2"/>
  <c r="AM161" i="2"/>
  <c r="AM66" i="2" s="1"/>
  <c r="AM162" i="2"/>
  <c r="AG40" i="8"/>
  <c r="AL270" i="2"/>
  <c r="AG43" i="8" l="1"/>
  <c r="AM88" i="2"/>
  <c r="AM216" i="2"/>
  <c r="AM166" i="2"/>
  <c r="AM70" i="2"/>
  <c r="AM67" i="2"/>
  <c r="AL279" i="2"/>
  <c r="AG52" i="8" s="1"/>
  <c r="AG51" i="8"/>
  <c r="AM215" i="2"/>
  <c r="AM165" i="2"/>
  <c r="AM167" i="2" s="1"/>
  <c r="AM175" i="2" s="1"/>
  <c r="AL176" i="2" s="1"/>
  <c r="AL178" i="2" s="1"/>
  <c r="AL124" i="2" l="1"/>
  <c r="AL127" i="2" s="1"/>
  <c r="AH27" i="8"/>
  <c r="AM241" i="2"/>
  <c r="AG54" i="8"/>
  <c r="AM78" i="2"/>
  <c r="AM269" i="2" s="1"/>
  <c r="AH42" i="8" s="1"/>
  <c r="AN64" i="2"/>
  <c r="AM195" i="2"/>
  <c r="AM208" i="2"/>
  <c r="AM123" i="2"/>
  <c r="AH28" i="8"/>
  <c r="AM240" i="2"/>
  <c r="AH12" i="8"/>
  <c r="AM89" i="2"/>
  <c r="AL281" i="2"/>
  <c r="AL143" i="2" l="1"/>
  <c r="AL184" i="2" s="1"/>
  <c r="AL188" i="2" s="1"/>
  <c r="AL290" i="2"/>
  <c r="AL291" i="2" s="1"/>
  <c r="AL297" i="2" s="1"/>
  <c r="AM94" i="2"/>
  <c r="AM96" i="2" s="1"/>
  <c r="AM98" i="2" s="1"/>
  <c r="AH13" i="8"/>
  <c r="AM93" i="2"/>
  <c r="AM95" i="2" s="1"/>
  <c r="AN92" i="2" s="1"/>
  <c r="AH20" i="8"/>
  <c r="AM232" i="2"/>
  <c r="AM235" i="2" s="1"/>
  <c r="AN75" i="2"/>
  <c r="AL168" i="2" l="1"/>
  <c r="AL169" i="2" s="1"/>
  <c r="AL144" i="2"/>
  <c r="AL145" i="2" s="1"/>
  <c r="AL292" i="2"/>
  <c r="AL298" i="2" s="1"/>
  <c r="AH14" i="8"/>
  <c r="AM210" i="2"/>
  <c r="AM126" i="2"/>
  <c r="AM99" i="2"/>
  <c r="AN85" i="2"/>
  <c r="AN76" i="2"/>
  <c r="AI9" i="8" l="1"/>
  <c r="AN86" i="2"/>
  <c r="AH22" i="8"/>
  <c r="AM211" i="2"/>
  <c r="AH15" i="8"/>
  <c r="AM100" i="2"/>
  <c r="AM261" i="2"/>
  <c r="AN102" i="2" l="1"/>
  <c r="AN234" i="2" s="1"/>
  <c r="AI10" i="8"/>
  <c r="AN87" i="2"/>
  <c r="AI11" i="8" s="1"/>
  <c r="AH23" i="8"/>
  <c r="AM217" i="2"/>
  <c r="AH29" i="8" l="1"/>
  <c r="AM149" i="2"/>
  <c r="AM154" i="2" s="1"/>
  <c r="AM219" i="2" l="1"/>
  <c r="AM155" i="2"/>
  <c r="AM220" i="2" s="1"/>
  <c r="AM156" i="2"/>
  <c r="AM273" i="2" l="1"/>
  <c r="AN151" i="2"/>
  <c r="AM243" i="2"/>
  <c r="AH32" i="8"/>
  <c r="AH31" i="8"/>
  <c r="AM242" i="2"/>
  <c r="AM244" i="2" s="1"/>
  <c r="AM221" i="2"/>
  <c r="AH33" i="8" l="1"/>
  <c r="AM223" i="2"/>
  <c r="AM224" i="2" s="1"/>
  <c r="AN160" i="2"/>
  <c r="AM274" i="2"/>
  <c r="AH47" i="8" s="1"/>
  <c r="AH46" i="8"/>
  <c r="AM267" i="2" l="1"/>
  <c r="AM225" i="2"/>
  <c r="AN204" i="2"/>
  <c r="AM227" i="2"/>
  <c r="AH36" i="8" s="1"/>
  <c r="AN161" i="2"/>
  <c r="AN66" i="2" s="1"/>
  <c r="AN153" i="2"/>
  <c r="AN162" i="2"/>
  <c r="AH35" i="8"/>
  <c r="AM262" i="2"/>
  <c r="AM263" i="2" s="1"/>
  <c r="AM249" i="2"/>
  <c r="AM250" i="2" s="1"/>
  <c r="AM278" i="2" l="1"/>
  <c r="AN260" i="2"/>
  <c r="AN166" i="2"/>
  <c r="AN88" i="2"/>
  <c r="AN216" i="2"/>
  <c r="AN215" i="2"/>
  <c r="AN165" i="2"/>
  <c r="AN167" i="2" s="1"/>
  <c r="AN175" i="2" s="1"/>
  <c r="AM176" i="2" s="1"/>
  <c r="AM178" i="2" s="1"/>
  <c r="AN70" i="2"/>
  <c r="AN67" i="2"/>
  <c r="AM270" i="2"/>
  <c r="AH40" i="8"/>
  <c r="AM124" i="2" l="1"/>
  <c r="AM127" i="2" s="1"/>
  <c r="AH43" i="8"/>
  <c r="AN208" i="2"/>
  <c r="AN123" i="2"/>
  <c r="AN195" i="2"/>
  <c r="AN241" i="2"/>
  <c r="AI27" i="8"/>
  <c r="AN240" i="2"/>
  <c r="AI28" i="8"/>
  <c r="AN78" i="2"/>
  <c r="AN269" i="2" s="1"/>
  <c r="AI42" i="8" s="1"/>
  <c r="AO64" i="2"/>
  <c r="AI12" i="8"/>
  <c r="AN89" i="2"/>
  <c r="AM279" i="2"/>
  <c r="AH52" i="8" s="1"/>
  <c r="AH51" i="8"/>
  <c r="AM290" i="2" l="1"/>
  <c r="AM143" i="2"/>
  <c r="AM168" i="2" s="1"/>
  <c r="AM169" i="2" s="1"/>
  <c r="AO75" i="2"/>
  <c r="AN93" i="2"/>
  <c r="AI13" i="8"/>
  <c r="AN94" i="2"/>
  <c r="AN96" i="2" s="1"/>
  <c r="AN98" i="2" s="1"/>
  <c r="AH54" i="8"/>
  <c r="AM184" i="2"/>
  <c r="AM188" i="2" s="1"/>
  <c r="AM144" i="2"/>
  <c r="AM145" i="2" s="1"/>
  <c r="AM291" i="2"/>
  <c r="AM297" i="2" s="1"/>
  <c r="AI20" i="8"/>
  <c r="AN232" i="2"/>
  <c r="AN235" i="2" s="1"/>
  <c r="AM281" i="2"/>
  <c r="AN210" i="2" l="1"/>
  <c r="AI14" i="8"/>
  <c r="AN126" i="2"/>
  <c r="AN99" i="2"/>
  <c r="AM292" i="2"/>
  <c r="AM298" i="2" s="1"/>
  <c r="AO85" i="2"/>
  <c r="AO76" i="2"/>
  <c r="AN95" i="2"/>
  <c r="AO92" i="2" s="1"/>
  <c r="AJ9" i="8" l="1"/>
  <c r="AO86" i="2"/>
  <c r="AN261" i="2"/>
  <c r="AN100" i="2"/>
  <c r="AI15" i="8"/>
  <c r="AI22" i="8"/>
  <c r="AN211" i="2"/>
  <c r="AN217" i="2" l="1"/>
  <c r="AI23" i="8"/>
  <c r="AO87" i="2"/>
  <c r="AJ11" i="8" s="1"/>
  <c r="AO102" i="2"/>
  <c r="AO234" i="2" s="1"/>
  <c r="AJ10" i="8"/>
  <c r="AI29" i="8" l="1"/>
  <c r="AN149" i="2"/>
  <c r="AN154" i="2" s="1"/>
  <c r="AN219" i="2" l="1"/>
  <c r="AN155" i="2"/>
  <c r="AN220" i="2" s="1"/>
  <c r="AN243" i="2" l="1"/>
  <c r="AI32" i="8"/>
  <c r="AN156" i="2"/>
  <c r="AN242" i="2"/>
  <c r="AI31" i="8"/>
  <c r="AN221" i="2"/>
  <c r="AN244" i="2" l="1"/>
  <c r="AI33" i="8"/>
  <c r="AN223" i="2"/>
  <c r="AN224" i="2"/>
  <c r="AO151" i="2"/>
  <c r="AN273" i="2"/>
  <c r="AN227" i="2" l="1"/>
  <c r="AI36" i="8" s="1"/>
  <c r="AN225" i="2"/>
  <c r="AO204" i="2"/>
  <c r="AN267" i="2"/>
  <c r="AN274" i="2"/>
  <c r="AI47" i="8" s="1"/>
  <c r="AI46" i="8"/>
  <c r="AO160" i="2"/>
  <c r="AN262" i="2"/>
  <c r="AN263" i="2" s="1"/>
  <c r="AN249" i="2"/>
  <c r="AN250" i="2" s="1"/>
  <c r="AI35" i="8"/>
  <c r="AO153" i="2" l="1"/>
  <c r="AO161" i="2"/>
  <c r="AO66" i="2" s="1"/>
  <c r="AI40" i="8"/>
  <c r="AN270" i="2"/>
  <c r="AO260" i="2"/>
  <c r="AN278" i="2"/>
  <c r="AN279" i="2" l="1"/>
  <c r="AI52" i="8" s="1"/>
  <c r="AI51" i="8"/>
  <c r="AI43" i="8"/>
  <c r="AN281" i="2"/>
  <c r="AO70" i="2"/>
  <c r="AO67" i="2"/>
  <c r="AO215" i="2"/>
  <c r="AO165" i="2"/>
  <c r="AO162" i="2"/>
  <c r="AI54" i="8" l="1"/>
  <c r="AO216" i="2"/>
  <c r="AO88" i="2"/>
  <c r="AO166" i="2"/>
  <c r="AO167" i="2"/>
  <c r="AO175" i="2" s="1"/>
  <c r="AN176" i="2" s="1"/>
  <c r="AN178" i="2" s="1"/>
  <c r="AO78" i="2"/>
  <c r="AO269" i="2" s="1"/>
  <c r="AJ42" i="8" s="1"/>
  <c r="AP64" i="2"/>
  <c r="AJ27" i="8"/>
  <c r="AO241" i="2"/>
  <c r="AO195" i="2"/>
  <c r="AO208" i="2"/>
  <c r="AO123" i="2"/>
  <c r="AN124" i="2" l="1"/>
  <c r="AN127" i="2" s="1"/>
  <c r="AP75" i="2"/>
  <c r="AJ12" i="8"/>
  <c r="AO89" i="2"/>
  <c r="AJ20" i="8"/>
  <c r="AO232" i="2"/>
  <c r="AO235" i="2" s="1"/>
  <c r="AJ28" i="8"/>
  <c r="AO240" i="2"/>
  <c r="AN290" i="2" l="1"/>
  <c r="AN291" i="2" s="1"/>
  <c r="AN297" i="2" s="1"/>
  <c r="AN143" i="2"/>
  <c r="AN184" i="2" s="1"/>
  <c r="AN188" i="2" s="1"/>
  <c r="AO93" i="2"/>
  <c r="AJ13" i="8"/>
  <c r="AO94" i="2"/>
  <c r="AO96" i="2" s="1"/>
  <c r="AO98" i="2" s="1"/>
  <c r="AO99" i="2" s="1"/>
  <c r="AP85" i="2"/>
  <c r="AP76" i="2"/>
  <c r="AN144" i="2" l="1"/>
  <c r="AN145" i="2" s="1"/>
  <c r="AN168" i="2"/>
  <c r="AN169" i="2" s="1"/>
  <c r="AO261" i="2"/>
  <c r="AO100" i="2"/>
  <c r="AJ15" i="8"/>
  <c r="AK9" i="8"/>
  <c r="AP86" i="2"/>
  <c r="AN292" i="2"/>
  <c r="AN298" i="2" s="1"/>
  <c r="AO210" i="2"/>
  <c r="AJ14" i="8"/>
  <c r="AO126" i="2"/>
  <c r="AO95" i="2"/>
  <c r="AP92" i="2" s="1"/>
  <c r="AJ22" i="8" l="1"/>
  <c r="AO211" i="2"/>
  <c r="AP87" i="2"/>
  <c r="AK11" i="8" s="1"/>
  <c r="AP102" i="2"/>
  <c r="AP234" i="2" s="1"/>
  <c r="AK10" i="8"/>
  <c r="AJ23" i="8" l="1"/>
  <c r="AO217" i="2"/>
  <c r="AJ29" i="8" l="1"/>
  <c r="AO149" i="2"/>
  <c r="AO154" i="2" s="1"/>
  <c r="AO219" i="2" l="1"/>
  <c r="AO155" i="2"/>
  <c r="AO220" i="2" s="1"/>
  <c r="AO243" i="2" l="1"/>
  <c r="AJ32" i="8"/>
  <c r="AO156" i="2"/>
  <c r="AO242" i="2"/>
  <c r="AO244" i="2" s="1"/>
  <c r="AJ31" i="8"/>
  <c r="AO221" i="2"/>
  <c r="AJ33" i="8" l="1"/>
  <c r="AO223" i="2"/>
  <c r="AO224" i="2" s="1"/>
  <c r="AO273" i="2"/>
  <c r="AP151" i="2"/>
  <c r="AP160" i="2" l="1"/>
  <c r="AJ46" i="8"/>
  <c r="AO274" i="2"/>
  <c r="AJ47" i="8" s="1"/>
  <c r="AO249" i="2"/>
  <c r="AO250" i="2" s="1"/>
  <c r="AJ35" i="8"/>
  <c r="AO262" i="2"/>
  <c r="AO263" i="2" s="1"/>
  <c r="AO225" i="2"/>
  <c r="AP204" i="2"/>
  <c r="AO267" i="2"/>
  <c r="AO227" i="2"/>
  <c r="AJ36" i="8" s="1"/>
  <c r="AJ40" i="8" l="1"/>
  <c r="AO270" i="2"/>
  <c r="AO278" i="2"/>
  <c r="AP260" i="2"/>
  <c r="AP153" i="2"/>
  <c r="AP161" i="2"/>
  <c r="AP66" i="2" s="1"/>
  <c r="AP162" i="2" l="1"/>
  <c r="AP215" i="2"/>
  <c r="AP165" i="2"/>
  <c r="AO279" i="2"/>
  <c r="AJ52" i="8" s="1"/>
  <c r="AJ51" i="8"/>
  <c r="AJ43" i="8"/>
  <c r="AO281" i="2"/>
  <c r="AP216" i="2"/>
  <c r="AP88" i="2"/>
  <c r="AP166" i="2"/>
  <c r="AP70" i="2"/>
  <c r="AP67" i="2"/>
  <c r="AP78" i="2" l="1"/>
  <c r="AP269" i="2" s="1"/>
  <c r="AK42" i="8" s="1"/>
  <c r="AQ64" i="2"/>
  <c r="AP123" i="2"/>
  <c r="AP208" i="2"/>
  <c r="AP195" i="2"/>
  <c r="AK12" i="8"/>
  <c r="AP89" i="2"/>
  <c r="AK28" i="8"/>
  <c r="AP240" i="2"/>
  <c r="AJ54" i="8"/>
  <c r="AP167" i="2"/>
  <c r="AP175" i="2" s="1"/>
  <c r="AO176" i="2" s="1"/>
  <c r="AO178" i="2" s="1"/>
  <c r="AP241" i="2"/>
  <c r="AK27" i="8"/>
  <c r="AO124" i="2" l="1"/>
  <c r="AO127" i="2" s="1"/>
  <c r="AP94" i="2"/>
  <c r="AP93" i="2"/>
  <c r="AP95" i="2" s="1"/>
  <c r="AQ92" i="2" s="1"/>
  <c r="AK13" i="8"/>
  <c r="AP96" i="2"/>
  <c r="AP98" i="2" s="1"/>
  <c r="AQ75" i="2"/>
  <c r="AK20" i="8"/>
  <c r="AP232" i="2"/>
  <c r="AP235" i="2" s="1"/>
  <c r="AO290" i="2" l="1"/>
  <c r="AO143" i="2"/>
  <c r="AO168" i="2" s="1"/>
  <c r="AO169" i="2" s="1"/>
  <c r="AQ85" i="2"/>
  <c r="AQ76" i="2"/>
  <c r="AP210" i="2"/>
  <c r="AP126" i="2"/>
  <c r="AK14" i="8"/>
  <c r="AO291" i="2"/>
  <c r="AO297" i="2" s="1"/>
  <c r="AP99" i="2"/>
  <c r="AO144" i="2" l="1"/>
  <c r="AO145" i="2" s="1"/>
  <c r="AO184" i="2"/>
  <c r="AO188" i="2" s="1"/>
  <c r="AO292" i="2"/>
  <c r="AO298" i="2" s="1"/>
  <c r="AL9" i="8"/>
  <c r="AQ86" i="2"/>
  <c r="AP100" i="2"/>
  <c r="AK15" i="8"/>
  <c r="AP261" i="2"/>
  <c r="AK22" i="8"/>
  <c r="AP211" i="2"/>
  <c r="AP217" i="2" l="1"/>
  <c r="AK23" i="8"/>
  <c r="AQ102" i="2"/>
  <c r="AQ234" i="2" s="1"/>
  <c r="AQ87" i="2"/>
  <c r="AL11" i="8" s="1"/>
  <c r="AL10" i="8"/>
  <c r="AP149" i="2" l="1"/>
  <c r="AP154" i="2" s="1"/>
  <c r="AK29" i="8"/>
  <c r="AP219" i="2" l="1"/>
  <c r="AP155" i="2"/>
  <c r="AP220" i="2" s="1"/>
  <c r="AK32" i="8" l="1"/>
  <c r="AP243" i="2"/>
  <c r="AP156" i="2"/>
  <c r="AP242" i="2"/>
  <c r="AK31" i="8"/>
  <c r="AP221" i="2"/>
  <c r="AP244" i="2" l="1"/>
  <c r="AK33" i="8"/>
  <c r="AP223" i="2"/>
  <c r="AP224" i="2"/>
  <c r="AQ151" i="2"/>
  <c r="AP273" i="2"/>
  <c r="AK46" i="8" l="1"/>
  <c r="AP274" i="2"/>
  <c r="AK47" i="8" s="1"/>
  <c r="AQ160" i="2"/>
  <c r="AP225" i="2"/>
  <c r="AP227" i="2"/>
  <c r="AK36" i="8" s="1"/>
  <c r="AQ204" i="2"/>
  <c r="AP267" i="2"/>
  <c r="AP249" i="2"/>
  <c r="AP250" i="2" s="1"/>
  <c r="AK35" i="8"/>
  <c r="AP262" i="2"/>
  <c r="AP263" i="2" s="1"/>
  <c r="AP278" i="2" l="1"/>
  <c r="AQ260" i="2"/>
  <c r="AP270" i="2"/>
  <c r="AK40" i="8"/>
  <c r="AQ161" i="2"/>
  <c r="AQ66" i="2" s="1"/>
  <c r="AQ153" i="2"/>
  <c r="AQ165" i="2" l="1"/>
  <c r="AQ215" i="2"/>
  <c r="AQ70" i="2"/>
  <c r="AQ67" i="2"/>
  <c r="AQ162" i="2"/>
  <c r="AK43" i="8"/>
  <c r="AP279" i="2"/>
  <c r="AK52" i="8" s="1"/>
  <c r="AK51" i="8"/>
  <c r="AP281" i="2" l="1"/>
  <c r="AQ78" i="2"/>
  <c r="AQ269" i="2" s="1"/>
  <c r="AL42" i="8" s="1"/>
  <c r="AR64" i="2"/>
  <c r="AQ241" i="2"/>
  <c r="AL27" i="8"/>
  <c r="AK54" i="8"/>
  <c r="AQ216" i="2"/>
  <c r="AQ88" i="2"/>
  <c r="AQ166" i="2"/>
  <c r="AQ195" i="2"/>
  <c r="AQ123" i="2"/>
  <c r="AQ208" i="2"/>
  <c r="AQ167" i="2"/>
  <c r="AQ175" i="2" s="1"/>
  <c r="AP176" i="2" s="1"/>
  <c r="AP178" i="2" s="1"/>
  <c r="AP124" i="2" l="1"/>
  <c r="AP127" i="2" s="1"/>
  <c r="AQ232" i="2"/>
  <c r="AQ235" i="2" s="1"/>
  <c r="AL20" i="8"/>
  <c r="AL12" i="8"/>
  <c r="AQ89" i="2"/>
  <c r="AL28" i="8"/>
  <c r="AQ240" i="2"/>
  <c r="AR75" i="2"/>
  <c r="AP290" i="2" l="1"/>
  <c r="AP291" i="2" s="1"/>
  <c r="AP297" i="2" s="1"/>
  <c r="AP143" i="2"/>
  <c r="AP184" i="2" s="1"/>
  <c r="AP188" i="2" s="1"/>
  <c r="AR85" i="2"/>
  <c r="AR76" i="2"/>
  <c r="AQ94" i="2"/>
  <c r="AQ96" i="2" s="1"/>
  <c r="AQ98" i="2" s="1"/>
  <c r="AL13" i="8"/>
  <c r="AQ93" i="2"/>
  <c r="AP168" i="2" l="1"/>
  <c r="AP169" i="2" s="1"/>
  <c r="AP144" i="2"/>
  <c r="AP145" i="2" s="1"/>
  <c r="AL14" i="8"/>
  <c r="AQ210" i="2"/>
  <c r="AQ126" i="2"/>
  <c r="AQ99" i="2"/>
  <c r="AP292" i="2"/>
  <c r="AP298" i="2" s="1"/>
  <c r="AQ95" i="2"/>
  <c r="AR92" i="2" s="1"/>
  <c r="AM9" i="8"/>
  <c r="AR86" i="2"/>
  <c r="AR102" i="2" l="1"/>
  <c r="AR234" i="2" s="1"/>
  <c r="AR87" i="2"/>
  <c r="AM11" i="8" s="1"/>
  <c r="AM10" i="8"/>
  <c r="AQ100" i="2"/>
  <c r="AL15" i="8"/>
  <c r="AQ261" i="2"/>
  <c r="AL22" i="8"/>
  <c r="AQ211" i="2"/>
  <c r="AL23" i="8" l="1"/>
  <c r="AQ217" i="2"/>
  <c r="AQ149" i="2" l="1"/>
  <c r="AQ154" i="2" s="1"/>
  <c r="AL29" i="8"/>
  <c r="AQ219" i="2" l="1"/>
  <c r="AQ155" i="2"/>
  <c r="AQ220" i="2" s="1"/>
  <c r="AQ156" i="2" l="1"/>
  <c r="AR151" i="2" s="1"/>
  <c r="AQ273" i="2"/>
  <c r="AL32" i="8"/>
  <c r="AQ243" i="2"/>
  <c r="AL31" i="8"/>
  <c r="AQ242" i="2"/>
  <c r="AQ244" i="2" s="1"/>
  <c r="AQ221" i="2"/>
  <c r="AL33" i="8" l="1"/>
  <c r="AQ223" i="2"/>
  <c r="AQ224" i="2" s="1"/>
  <c r="AR160" i="2"/>
  <c r="AL46" i="8"/>
  <c r="AQ274" i="2"/>
  <c r="AL47" i="8" s="1"/>
  <c r="AQ267" i="2" l="1"/>
  <c r="AQ225" i="2"/>
  <c r="AQ227" i="2"/>
  <c r="AL36" i="8" s="1"/>
  <c r="AR204" i="2"/>
  <c r="AR153" i="2"/>
  <c r="AR161" i="2"/>
  <c r="AR66" i="2" s="1"/>
  <c r="AQ249" i="2"/>
  <c r="AQ250" i="2" s="1"/>
  <c r="AQ262" i="2"/>
  <c r="AQ263" i="2" s="1"/>
  <c r="AL35" i="8"/>
  <c r="AR260" i="2" l="1"/>
  <c r="AQ278" i="2"/>
  <c r="AR70" i="2"/>
  <c r="AR67" i="2"/>
  <c r="AR215" i="2"/>
  <c r="AR165" i="2"/>
  <c r="AR162" i="2"/>
  <c r="AL40" i="8"/>
  <c r="AQ270" i="2"/>
  <c r="AM27" i="8" l="1"/>
  <c r="AR241" i="2"/>
  <c r="AL43" i="8"/>
  <c r="AR216" i="2"/>
  <c r="AR88" i="2"/>
  <c r="AR166" i="2"/>
  <c r="AR167" i="2"/>
  <c r="AR175" i="2" s="1"/>
  <c r="AQ176" i="2" s="1"/>
  <c r="AQ178" i="2" s="1"/>
  <c r="AR78" i="2"/>
  <c r="AR269" i="2" s="1"/>
  <c r="AM42" i="8" s="1"/>
  <c r="AS64" i="2"/>
  <c r="AR208" i="2"/>
  <c r="AR123" i="2"/>
  <c r="AR195" i="2"/>
  <c r="AL51" i="8"/>
  <c r="AQ279" i="2"/>
  <c r="AL52" i="8" s="1"/>
  <c r="AQ124" i="2" l="1"/>
  <c r="AQ127" i="2" s="1"/>
  <c r="AR232" i="2"/>
  <c r="AR235" i="2" s="1"/>
  <c r="AM20" i="8"/>
  <c r="AS75" i="2"/>
  <c r="AL54" i="8"/>
  <c r="AM12" i="8"/>
  <c r="AR89" i="2"/>
  <c r="AM28" i="8"/>
  <c r="AR240" i="2"/>
  <c r="AQ281" i="2"/>
  <c r="AQ143" i="2" l="1"/>
  <c r="AQ290" i="2"/>
  <c r="AQ291" i="2" s="1"/>
  <c r="AQ297" i="2" s="1"/>
  <c r="AS85" i="2"/>
  <c r="AS76" i="2"/>
  <c r="AM13" i="8"/>
  <c r="AR94" i="2"/>
  <c r="AR96" i="2" s="1"/>
  <c r="AR98" i="2" s="1"/>
  <c r="AR93" i="2"/>
  <c r="AR95" i="2" s="1"/>
  <c r="AS92" i="2" s="1"/>
  <c r="AQ144" i="2"/>
  <c r="AQ145" i="2" s="1"/>
  <c r="AQ168" i="2"/>
  <c r="AQ169" i="2" s="1"/>
  <c r="AQ184" i="2"/>
  <c r="AQ188" i="2" s="1"/>
  <c r="AM14" i="8" l="1"/>
  <c r="AR210" i="2"/>
  <c r="AR126" i="2"/>
  <c r="AR99" i="2"/>
  <c r="AQ292" i="2"/>
  <c r="AQ298" i="2" s="1"/>
  <c r="AN9" i="8"/>
  <c r="AS86" i="2"/>
  <c r="AS102" i="2" l="1"/>
  <c r="AS234" i="2" s="1"/>
  <c r="AN10" i="8"/>
  <c r="AS87" i="2"/>
  <c r="AN11" i="8" s="1"/>
  <c r="AR100" i="2"/>
  <c r="AR261" i="2"/>
  <c r="AM15" i="8"/>
  <c r="AM22" i="8"/>
  <c r="AR211" i="2"/>
  <c r="AM23" i="8" l="1"/>
  <c r="AR217" i="2"/>
  <c r="AM29" i="8" l="1"/>
  <c r="AR149" i="2"/>
  <c r="AR154" i="2" s="1"/>
  <c r="AR219" i="2" l="1"/>
  <c r="AR155" i="2"/>
  <c r="AR220" i="2" s="1"/>
  <c r="AR156" i="2" l="1"/>
  <c r="AS151" i="2" s="1"/>
  <c r="AR273" i="2"/>
  <c r="AR243" i="2"/>
  <c r="AM32" i="8"/>
  <c r="AM31" i="8"/>
  <c r="AR242" i="2"/>
  <c r="AR244" i="2" s="1"/>
  <c r="AR221" i="2"/>
  <c r="AR223" i="2" l="1"/>
  <c r="AM33" i="8"/>
  <c r="AS160" i="2"/>
  <c r="AR274" i="2"/>
  <c r="AM47" i="8" s="1"/>
  <c r="AM46" i="8"/>
  <c r="AS161" i="2" l="1"/>
  <c r="AS66" i="2" s="1"/>
  <c r="AS153" i="2"/>
  <c r="AS162" i="2"/>
  <c r="AR249" i="2"/>
  <c r="AR250" i="2" s="1"/>
  <c r="AM35" i="8"/>
  <c r="AR262" i="2"/>
  <c r="AR263" i="2" s="1"/>
  <c r="AR224" i="2"/>
  <c r="AR225" i="2" l="1"/>
  <c r="AR267" i="2"/>
  <c r="AR227" i="2"/>
  <c r="AM36" i="8" s="1"/>
  <c r="AS204" i="2"/>
  <c r="AR278" i="2"/>
  <c r="AS260" i="2"/>
  <c r="AS88" i="2"/>
  <c r="AS166" i="2"/>
  <c r="AS216" i="2"/>
  <c r="AS215" i="2"/>
  <c r="AS165" i="2"/>
  <c r="AS167" i="2" s="1"/>
  <c r="AS175" i="2" s="1"/>
  <c r="AR176" i="2" s="1"/>
  <c r="AR178" i="2" s="1"/>
  <c r="AS70" i="2"/>
  <c r="AS67" i="2"/>
  <c r="AR124" i="2" l="1"/>
  <c r="AR127" i="2" s="1"/>
  <c r="AS78" i="2"/>
  <c r="AS269" i="2" s="1"/>
  <c r="AN42" i="8" s="1"/>
  <c r="AT64" i="2"/>
  <c r="AS208" i="2"/>
  <c r="AS123" i="2"/>
  <c r="AS195" i="2"/>
  <c r="AS241" i="2"/>
  <c r="AN27" i="8"/>
  <c r="AR279" i="2"/>
  <c r="AM52" i="8" s="1"/>
  <c r="AM51" i="8"/>
  <c r="AS240" i="2"/>
  <c r="AN28" i="8"/>
  <c r="AN12" i="8"/>
  <c r="AS89" i="2"/>
  <c r="AM40" i="8"/>
  <c r="AR270" i="2"/>
  <c r="AR290" i="2" l="1"/>
  <c r="AR291" i="2" s="1"/>
  <c r="AR297" i="2" s="1"/>
  <c r="AR143" i="2"/>
  <c r="AR184" i="2" s="1"/>
  <c r="AR188" i="2" s="1"/>
  <c r="AT75" i="2"/>
  <c r="AM43" i="8"/>
  <c r="AM54" i="8" s="1"/>
  <c r="AR281" i="2"/>
  <c r="AN13" i="8"/>
  <c r="AS94" i="2"/>
  <c r="AS96" i="2" s="1"/>
  <c r="AS98" i="2" s="1"/>
  <c r="AS93" i="2"/>
  <c r="AS95" i="2" s="1"/>
  <c r="AT92" i="2" s="1"/>
  <c r="AR168" i="2"/>
  <c r="AR169" i="2" s="1"/>
  <c r="AN20" i="8"/>
  <c r="AS232" i="2"/>
  <c r="AS235" i="2" s="1"/>
  <c r="AR144" i="2" l="1"/>
  <c r="AR145" i="2" s="1"/>
  <c r="AS210" i="2"/>
  <c r="AN14" i="8"/>
  <c r="AS126" i="2"/>
  <c r="AS99" i="2"/>
  <c r="AT85" i="2"/>
  <c r="AT76" i="2"/>
  <c r="AR292" i="2"/>
  <c r="AR298" i="2" s="1"/>
  <c r="AO9" i="8" l="1"/>
  <c r="AT86" i="2"/>
  <c r="AS261" i="2"/>
  <c r="AS100" i="2"/>
  <c r="AN15" i="8"/>
  <c r="AN22" i="8"/>
  <c r="AS211" i="2"/>
  <c r="AN23" i="8" l="1"/>
  <c r="AS217" i="2"/>
  <c r="AT87" i="2"/>
  <c r="AO11" i="8" s="1"/>
  <c r="AO10" i="8"/>
  <c r="AT102" i="2"/>
  <c r="AT234" i="2" s="1"/>
  <c r="AN29" i="8" l="1"/>
  <c r="AS149" i="2"/>
  <c r="AS154" i="2" s="1"/>
  <c r="AS219" i="2" l="1"/>
  <c r="AS155" i="2"/>
  <c r="AS220" i="2" s="1"/>
  <c r="AS156" i="2"/>
  <c r="AS273" i="2" l="1"/>
  <c r="AT151" i="2"/>
  <c r="AS243" i="2"/>
  <c r="AN32" i="8"/>
  <c r="AN31" i="8"/>
  <c r="AS242" i="2"/>
  <c r="AS244" i="2" s="1"/>
  <c r="AS221" i="2"/>
  <c r="AN33" i="8" l="1"/>
  <c r="AS223" i="2"/>
  <c r="AT160" i="2"/>
  <c r="AS274" i="2"/>
  <c r="AN47" i="8" s="1"/>
  <c r="AN46" i="8"/>
  <c r="AT153" i="2" l="1"/>
  <c r="AT161" i="2"/>
  <c r="AT66" i="2" s="1"/>
  <c r="AS262" i="2"/>
  <c r="AS263" i="2" s="1"/>
  <c r="AS249" i="2"/>
  <c r="AS250" i="2" s="1"/>
  <c r="AN35" i="8"/>
  <c r="AS224" i="2"/>
  <c r="AS227" i="2" l="1"/>
  <c r="AN36" i="8" s="1"/>
  <c r="AS225" i="2"/>
  <c r="AS267" i="2"/>
  <c r="AT204" i="2"/>
  <c r="AT70" i="2"/>
  <c r="AT67" i="2"/>
  <c r="AS278" i="2"/>
  <c r="AT260" i="2"/>
  <c r="AT162" i="2"/>
  <c r="AT215" i="2"/>
  <c r="AT165" i="2"/>
  <c r="AT241" i="2" l="1"/>
  <c r="AO27" i="8"/>
  <c r="AT78" i="2"/>
  <c r="AT269" i="2" s="1"/>
  <c r="AO42" i="8" s="1"/>
  <c r="AU64" i="2"/>
  <c r="AT88" i="2"/>
  <c r="AT166" i="2"/>
  <c r="AT167" i="2" s="1"/>
  <c r="AT175" i="2" s="1"/>
  <c r="AS176" i="2" s="1"/>
  <c r="AS178" i="2" s="1"/>
  <c r="AT216" i="2"/>
  <c r="AN51" i="8"/>
  <c r="AS279" i="2"/>
  <c r="AN52" i="8" s="1"/>
  <c r="AT195" i="2"/>
  <c r="AT208" i="2"/>
  <c r="AT123" i="2"/>
  <c r="AN40" i="8"/>
  <c r="AS270" i="2"/>
  <c r="AS124" i="2" l="1"/>
  <c r="AS127" i="2" s="1"/>
  <c r="AT232" i="2"/>
  <c r="AT235" i="2" s="1"/>
  <c r="AO20" i="8"/>
  <c r="AT240" i="2"/>
  <c r="AO28" i="8"/>
  <c r="AS281" i="2"/>
  <c r="AN43" i="8"/>
  <c r="AN54" i="8" s="1"/>
  <c r="AO12" i="8"/>
  <c r="AT89" i="2"/>
  <c r="AU75" i="2"/>
  <c r="AS143" i="2" l="1"/>
  <c r="AS184" i="2" s="1"/>
  <c r="AS188" i="2" s="1"/>
  <c r="AS290" i="2"/>
  <c r="AS291" i="2" s="1"/>
  <c r="AS297" i="2" s="1"/>
  <c r="AU85" i="2"/>
  <c r="AU76" i="2"/>
  <c r="AO13" i="8"/>
  <c r="AT94" i="2"/>
  <c r="AT96" i="2" s="1"/>
  <c r="AT98" i="2" s="1"/>
  <c r="AT93" i="2"/>
  <c r="AT95" i="2" s="1"/>
  <c r="AU92" i="2" s="1"/>
  <c r="AS168" i="2"/>
  <c r="AS169" i="2" s="1"/>
  <c r="AS144" i="2" l="1"/>
  <c r="AS145" i="2" s="1"/>
  <c r="AT210" i="2"/>
  <c r="AO14" i="8"/>
  <c r="AT126" i="2"/>
  <c r="AT99" i="2"/>
  <c r="AS292" i="2"/>
  <c r="AS298" i="2" s="1"/>
  <c r="AP9" i="8"/>
  <c r="AU86" i="2"/>
  <c r="J85" i="2"/>
  <c r="AU102" i="2" l="1"/>
  <c r="AU87" i="2"/>
  <c r="AP10" i="8"/>
  <c r="J86" i="2"/>
  <c r="AT100" i="2"/>
  <c r="AO15" i="8"/>
  <c r="AT261" i="2"/>
  <c r="AO22" i="8"/>
  <c r="AT211" i="2"/>
  <c r="AO23" i="8" l="1"/>
  <c r="AT217" i="2"/>
  <c r="AP11" i="8"/>
  <c r="J87" i="2"/>
  <c r="AU234" i="2"/>
  <c r="J234" i="2" s="1"/>
  <c r="J102" i="2"/>
  <c r="AT149" i="2" l="1"/>
  <c r="AT154" i="2" s="1"/>
  <c r="AO29" i="8"/>
  <c r="AT219" i="2" l="1"/>
  <c r="AT155" i="2"/>
  <c r="AT220" i="2" s="1"/>
  <c r="AO32" i="8" l="1"/>
  <c r="AT243" i="2"/>
  <c r="AT156" i="2"/>
  <c r="AO31" i="8"/>
  <c r="AT242" i="2"/>
  <c r="AT244" i="2" s="1"/>
  <c r="AT221" i="2"/>
  <c r="AT223" i="2" l="1"/>
  <c r="AT224" i="2" s="1"/>
  <c r="AO33" i="8"/>
  <c r="AT273" i="2"/>
  <c r="AU151" i="2"/>
  <c r="AT227" i="2" l="1"/>
  <c r="AO36" i="8" s="1"/>
  <c r="AT225" i="2"/>
  <c r="AT267" i="2"/>
  <c r="AU204" i="2"/>
  <c r="AU160" i="2"/>
  <c r="AO46" i="8"/>
  <c r="AT274" i="2"/>
  <c r="AO47" i="8" s="1"/>
  <c r="AO35" i="8"/>
  <c r="AT262" i="2"/>
  <c r="AT263" i="2" s="1"/>
  <c r="AT249" i="2"/>
  <c r="AT250" i="2" s="1"/>
  <c r="AT278" i="2" l="1"/>
  <c r="AU260" i="2"/>
  <c r="AU161" i="2"/>
  <c r="AU162" i="2"/>
  <c r="AU153" i="2"/>
  <c r="J160" i="2"/>
  <c r="AT270" i="2"/>
  <c r="AO40" i="8"/>
  <c r="AO43" i="8" l="1"/>
  <c r="AU88" i="2"/>
  <c r="AU166" i="2"/>
  <c r="J166" i="2" s="1"/>
  <c r="AU216" i="2"/>
  <c r="J162" i="2"/>
  <c r="AU165" i="2"/>
  <c r="AU215" i="2"/>
  <c r="AU66" i="2"/>
  <c r="J161" i="2"/>
  <c r="AT279" i="2"/>
  <c r="AO52" i="8" s="1"/>
  <c r="AO51" i="8"/>
  <c r="AP27" i="8" l="1"/>
  <c r="AU241" i="2"/>
  <c r="J241" i="2" s="1"/>
  <c r="J215" i="2"/>
  <c r="AU240" i="2"/>
  <c r="AP28" i="8"/>
  <c r="J216" i="2"/>
  <c r="AT281" i="2"/>
  <c r="AU70" i="2"/>
  <c r="AU67" i="2"/>
  <c r="AU78" i="2" s="1"/>
  <c r="AU269" i="2" s="1"/>
  <c r="AP42" i="8" s="1"/>
  <c r="AU167" i="2"/>
  <c r="J165" i="2"/>
  <c r="AP12" i="8"/>
  <c r="J88" i="2"/>
  <c r="AU89" i="2"/>
  <c r="J89" i="2" s="1"/>
  <c r="AO54" i="8"/>
  <c r="AU94" i="2" l="1"/>
  <c r="J94" i="2" s="1"/>
  <c r="AP13" i="8"/>
  <c r="AU93" i="2"/>
  <c r="J93" i="2" s="1"/>
  <c r="AU96" i="2"/>
  <c r="AU175" i="2"/>
  <c r="AT176" i="2" s="1"/>
  <c r="AT178" i="2" s="1"/>
  <c r="AT124" i="2" s="1"/>
  <c r="J167" i="2"/>
  <c r="AU195" i="2"/>
  <c r="AU123" i="2"/>
  <c r="AU208" i="2"/>
  <c r="J240" i="2"/>
  <c r="AU98" i="2" l="1"/>
  <c r="J96" i="2"/>
  <c r="AU95" i="2"/>
  <c r="AU126" i="2"/>
  <c r="J126" i="2" s="1"/>
  <c r="AU210" i="2"/>
  <c r="AP14" i="8"/>
  <c r="J98" i="2"/>
  <c r="J124" i="2"/>
  <c r="AT127" i="2"/>
  <c r="AP20" i="8"/>
  <c r="AU232" i="2"/>
  <c r="J208" i="2"/>
  <c r="AU211" i="2"/>
  <c r="AU127" i="2"/>
  <c r="J123" i="2"/>
  <c r="AU99" i="2"/>
  <c r="AU290" i="2" l="1"/>
  <c r="AU143" i="2"/>
  <c r="J127" i="2"/>
  <c r="AU235" i="2"/>
  <c r="J232" i="2"/>
  <c r="AU261" i="2"/>
  <c r="J261" i="2" s="1"/>
  <c r="AP15" i="8"/>
  <c r="AU100" i="2"/>
  <c r="J100" i="2" s="1"/>
  <c r="J99" i="2"/>
  <c r="AP23" i="8"/>
  <c r="AU217" i="2"/>
  <c r="J211" i="2"/>
  <c r="AT290" i="2"/>
  <c r="AT143" i="2"/>
  <c r="AP22" i="8"/>
  <c r="J210" i="2"/>
  <c r="AP29" i="8" l="1"/>
  <c r="AU149" i="2"/>
  <c r="AU154" i="2" s="1"/>
  <c r="J217" i="2"/>
  <c r="AT184" i="2"/>
  <c r="AT188" i="2" s="1"/>
  <c r="AT168" i="2"/>
  <c r="AT169" i="2" s="1"/>
  <c r="AT144" i="2"/>
  <c r="AT145" i="2" s="1"/>
  <c r="J235" i="2"/>
  <c r="E236" i="2"/>
  <c r="E11" i="3" s="1"/>
  <c r="I4" i="7" s="1"/>
  <c r="AT291" i="2"/>
  <c r="AT297" i="2" s="1"/>
  <c r="AU168" i="2"/>
  <c r="AU184" i="2"/>
  <c r="AU188" i="2" s="1"/>
  <c r="J188" i="2" s="1"/>
  <c r="E188" i="2" s="1"/>
  <c r="E190" i="2" s="1"/>
  <c r="E10" i="3" s="1"/>
  <c r="H4" i="7" s="1"/>
  <c r="AU144" i="2"/>
  <c r="AU145" i="2" s="1"/>
  <c r="AU291" i="2"/>
  <c r="AU297" i="2" s="1"/>
  <c r="J297" i="2" s="1"/>
  <c r="J290" i="2"/>
  <c r="AU292" i="2" l="1"/>
  <c r="AU298" i="2" s="1"/>
  <c r="E146" i="2" a="1"/>
  <c r="E146" i="2" s="1"/>
  <c r="AU169" i="2"/>
  <c r="E182" i="2" s="1" a="1"/>
  <c r="E182" i="2" s="1"/>
  <c r="E9" i="3" s="1"/>
  <c r="G4" i="7" s="1"/>
  <c r="J168" i="2"/>
  <c r="AT292" i="2"/>
  <c r="AT298" i="2" s="1"/>
  <c r="J298" i="2" s="1"/>
  <c r="E299" i="2" s="1"/>
  <c r="E18" i="3" s="1"/>
  <c r="AU219" i="2"/>
  <c r="AU155" i="2"/>
  <c r="AU220" i="2" s="1"/>
  <c r="AP32" i="8" l="1"/>
  <c r="AU243" i="2"/>
  <c r="J243" i="2" s="1"/>
  <c r="J220" i="2"/>
  <c r="AP31" i="8"/>
  <c r="AU242" i="2"/>
  <c r="J219" i="2"/>
  <c r="AU221" i="2"/>
  <c r="AU156" i="2"/>
  <c r="AU273" i="2" s="1"/>
  <c r="E181" i="2" a="1"/>
  <c r="E181" i="2" s="1"/>
  <c r="E8" i="3" s="1"/>
  <c r="F4" i="7" s="1"/>
  <c r="AP33" i="8" l="1"/>
  <c r="AU223" i="2"/>
  <c r="J221" i="2"/>
  <c r="AP46" i="8"/>
  <c r="AU274" i="2"/>
  <c r="AP47" i="8" s="1"/>
  <c r="J242" i="2"/>
  <c r="AU244" i="2"/>
  <c r="J244" i="2" l="1"/>
  <c r="E245" i="2"/>
  <c r="E12" i="3" s="1"/>
  <c r="J4" i="7" s="1"/>
  <c r="AU249" i="2"/>
  <c r="AU262" i="2"/>
  <c r="AP35" i="8"/>
  <c r="J223" i="2"/>
  <c r="AU224" i="2"/>
  <c r="AU263" i="2" l="1"/>
  <c r="AU278" i="2" s="1"/>
  <c r="J262" i="2"/>
  <c r="AU267" i="2"/>
  <c r="AU227" i="2"/>
  <c r="AU225" i="2"/>
  <c r="J225" i="2" s="1"/>
  <c r="AU279" i="2"/>
  <c r="AP52" i="8" s="1"/>
  <c r="AP51" i="8"/>
  <c r="AU250" i="2"/>
  <c r="J249" i="2"/>
  <c r="J250" i="2" l="1"/>
  <c r="E251" i="2"/>
  <c r="E13" i="3" s="1"/>
  <c r="K4" i="7" s="1"/>
  <c r="AP36" i="8"/>
  <c r="J227" i="2"/>
  <c r="AU270" i="2"/>
  <c r="AP40" i="8"/>
  <c r="AU281" i="2" l="1"/>
  <c r="J281" i="2" s="1"/>
  <c r="AP43" i="8"/>
  <c r="AP54" i="8" s="1"/>
  <c r="E5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Vinci</author>
  </authors>
  <commentList>
    <comment ref="E15" authorId="0" shapeId="0" xr:uid="{76511997-8C51-44E8-849E-1041E654BE28}">
      <text>
        <r>
          <rPr>
            <b/>
            <sz val="9"/>
            <color indexed="81"/>
            <rFont val="Tahoma"/>
            <charset val="1"/>
          </rPr>
          <t>Vinci:</t>
        </r>
        <r>
          <rPr>
            <sz val="9"/>
            <color indexed="81"/>
            <rFont val="Tahoma"/>
            <charset val="1"/>
          </rPr>
          <t xml:space="preserve">
goalseeked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Vinci</author>
  </authors>
  <commentList>
    <comment ref="E28" authorId="0" shapeId="0" xr:uid="{EE6BE30B-7F73-444F-AAEB-E04E48C4D83B}">
      <text>
        <r>
          <rPr>
            <b/>
            <sz val="9"/>
            <color indexed="81"/>
            <rFont val="Tahoma"/>
            <family val="2"/>
          </rPr>
          <t>Vinci:</t>
        </r>
        <r>
          <rPr>
            <sz val="9"/>
            <color indexed="81"/>
            <rFont val="Tahoma"/>
            <family val="2"/>
          </rPr>
          <t xml:space="preserve">
number of hours in a year</t>
        </r>
      </text>
    </comment>
    <comment ref="E141" authorId="0" shapeId="0" xr:uid="{F602C0D7-3D25-4D70-9BFD-5A17F8A9B021}">
      <text>
        <r>
          <rPr>
            <b/>
            <sz val="9"/>
            <color indexed="81"/>
            <rFont val="Tahoma"/>
            <family val="2"/>
          </rPr>
          <t>Vinci:</t>
        </r>
        <r>
          <rPr>
            <sz val="9"/>
            <color indexed="81"/>
            <rFont val="Tahoma"/>
            <family val="2"/>
          </rPr>
          <t xml:space="preserve">
goalseeked</t>
        </r>
      </text>
    </comment>
    <comment ref="D178" authorId="0" shapeId="0" xr:uid="{E25826FF-1D7B-47EC-9DE6-0D98E9FDB081}">
      <text>
        <r>
          <rPr>
            <b/>
            <sz val="9"/>
            <color indexed="81"/>
            <rFont val="Tahoma"/>
            <family val="2"/>
          </rPr>
          <t>Vinci:</t>
        </r>
        <r>
          <rPr>
            <sz val="9"/>
            <color indexed="81"/>
            <rFont val="Tahoma"/>
            <family val="2"/>
          </rPr>
          <t xml:space="preserve">
treated as a financing cost outflow</t>
        </r>
      </text>
    </comment>
    <comment ref="D190" authorId="0" shapeId="0" xr:uid="{4A177A9F-9CC4-4FFB-99D9-C25EEB991189}">
      <text>
        <r>
          <rPr>
            <b/>
            <sz val="9"/>
            <color indexed="81"/>
            <rFont val="Tahoma"/>
            <family val="2"/>
          </rPr>
          <t>Vinci:</t>
        </r>
        <r>
          <rPr>
            <sz val="9"/>
            <color indexed="81"/>
            <rFont val="Tahoma"/>
            <family val="2"/>
          </rPr>
          <t xml:space="preserve">
used notional loan life cfads</t>
        </r>
      </text>
    </comment>
    <comment ref="D195" authorId="0" shapeId="0" xr:uid="{E60A0FDA-29E5-4527-83AF-B5CCFDC8D41B}">
      <text>
        <r>
          <rPr>
            <b/>
            <sz val="9"/>
            <color indexed="81"/>
            <rFont val="Tahoma"/>
            <family val="2"/>
          </rPr>
          <t>Vinci:</t>
        </r>
        <r>
          <rPr>
            <sz val="9"/>
            <color indexed="81"/>
            <rFont val="Tahoma"/>
            <family val="2"/>
          </rPr>
          <t xml:space="preserve">
funded with equity as the project's CFADS cannot support more debt unless we lower the target DSCR</t>
        </r>
      </text>
    </comment>
    <comment ref="D225" authorId="0" shapeId="0" xr:uid="{6D1BA15A-9F61-4099-814F-EC80502E71B8}">
      <text>
        <r>
          <rPr>
            <b/>
            <sz val="9"/>
            <color indexed="81"/>
            <rFont val="Tahoma"/>
            <charset val="1"/>
          </rPr>
          <t>Vinci:</t>
        </r>
        <r>
          <rPr>
            <sz val="9"/>
            <color indexed="81"/>
            <rFont val="Tahoma"/>
            <charset val="1"/>
          </rPr>
          <t xml:space="preserve">
the negative cash balance represents the unfunded bullet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<sst xmlns="http://schemas.openxmlformats.org/spreadsheetml/2006/main" count="490" uniqueCount="246">
  <si>
    <t>Assumption</t>
  </si>
  <si>
    <t>Unit</t>
  </si>
  <si>
    <t>years</t>
  </si>
  <si>
    <t>PPA price</t>
  </si>
  <si>
    <t>p.a.</t>
  </si>
  <si>
    <t>Operating expense</t>
  </si>
  <si>
    <t>Note</t>
  </si>
  <si>
    <t>Input</t>
  </si>
  <si>
    <t>Financing</t>
  </si>
  <si>
    <t>Min. DSCR</t>
  </si>
  <si>
    <t>DSRA months required</t>
  </si>
  <si>
    <t>months</t>
  </si>
  <si>
    <t>BoP</t>
  </si>
  <si>
    <t>EoP</t>
  </si>
  <si>
    <t>Year</t>
  </si>
  <si>
    <t>Revenue</t>
  </si>
  <si>
    <t>Date</t>
  </si>
  <si>
    <t>Sum</t>
  </si>
  <si>
    <t>Timing</t>
  </si>
  <si>
    <t>PPA period flag</t>
  </si>
  <si>
    <t>MWh</t>
  </si>
  <si>
    <t>Net Capacity Factor</t>
  </si>
  <si>
    <t>Price</t>
  </si>
  <si>
    <t>Capital Expenditure</t>
  </si>
  <si>
    <t>Decommissioning</t>
  </si>
  <si>
    <t>Dates</t>
  </si>
  <si>
    <t>Financial Close</t>
  </si>
  <si>
    <t>Construction</t>
  </si>
  <si>
    <t>Commercial Operation</t>
  </si>
  <si>
    <t>Operation</t>
  </si>
  <si>
    <t>Working Capital</t>
  </si>
  <si>
    <t>EBITDA</t>
  </si>
  <si>
    <t>Scenario</t>
  </si>
  <si>
    <t>Months per period</t>
  </si>
  <si>
    <t>Period number</t>
  </si>
  <si>
    <t>Operating period flag</t>
  </si>
  <si>
    <t>PPA Life</t>
  </si>
  <si>
    <t>PPA</t>
  </si>
  <si>
    <t>Years of operation</t>
  </si>
  <si>
    <t>Costs</t>
  </si>
  <si>
    <t>Volume</t>
  </si>
  <si>
    <t>Total Revenue</t>
  </si>
  <si>
    <t>Hours per period</t>
  </si>
  <si>
    <t>% of revenue</t>
  </si>
  <si>
    <t>Construction period flag</t>
  </si>
  <si>
    <t>Total capital expenditure</t>
  </si>
  <si>
    <t>Days in period</t>
  </si>
  <si>
    <t>Accounts Receivables</t>
  </si>
  <si>
    <t>Accounts Payables</t>
  </si>
  <si>
    <t>AR days</t>
  </si>
  <si>
    <t>AP days</t>
  </si>
  <si>
    <t>Account receivables</t>
  </si>
  <si>
    <t>Account payables</t>
  </si>
  <si>
    <t>Working capital</t>
  </si>
  <si>
    <t>Changes in working capital</t>
  </si>
  <si>
    <t>CFADS</t>
  </si>
  <si>
    <t>Cash flow available for debt service</t>
  </si>
  <si>
    <t>Add: drawdown</t>
  </si>
  <si>
    <t>Less: repayment</t>
  </si>
  <si>
    <t>Interest rate</t>
  </si>
  <si>
    <t>Interest expense</t>
  </si>
  <si>
    <t>DSRA</t>
  </si>
  <si>
    <t>DSRA size required</t>
  </si>
  <si>
    <t>DSCR</t>
  </si>
  <si>
    <t>Average DSCR</t>
  </si>
  <si>
    <t>Credit metrics</t>
  </si>
  <si>
    <t>Key Output</t>
  </si>
  <si>
    <t>Sources &amp; Uses</t>
  </si>
  <si>
    <t>Sources</t>
  </si>
  <si>
    <t>Uses</t>
  </si>
  <si>
    <t>Capital Cost</t>
  </si>
  <si>
    <t>Construction loan</t>
  </si>
  <si>
    <t>Gearing ratio (D/C)</t>
  </si>
  <si>
    <t>Construction loan facility</t>
  </si>
  <si>
    <t>Equity contribution</t>
  </si>
  <si>
    <t>Depreciation</t>
  </si>
  <si>
    <t>EBIT</t>
  </si>
  <si>
    <t>Total Uses</t>
  </si>
  <si>
    <t>Total Sources</t>
  </si>
  <si>
    <t>Total project cost</t>
  </si>
  <si>
    <t>Balance</t>
  </si>
  <si>
    <t>Interest</t>
  </si>
  <si>
    <t>Depreciation expense</t>
  </si>
  <si>
    <t>Accumulated depreciation</t>
  </si>
  <si>
    <t>Net plant</t>
  </si>
  <si>
    <t>Tax expense</t>
  </si>
  <si>
    <t>Discount flag</t>
  </si>
  <si>
    <t>PV of CFADS</t>
  </si>
  <si>
    <t>Loan size</t>
  </si>
  <si>
    <t>LLCR</t>
  </si>
  <si>
    <t>Cash available before debt service</t>
  </si>
  <si>
    <t>Dividends</t>
  </si>
  <si>
    <t>Net cash flow</t>
  </si>
  <si>
    <t>Check</t>
  </si>
  <si>
    <t>Opening cash balance</t>
  </si>
  <si>
    <t>Closing cash balance</t>
  </si>
  <si>
    <t>Asset</t>
  </si>
  <si>
    <t>Liability</t>
  </si>
  <si>
    <t>Equity</t>
  </si>
  <si>
    <t>Cash</t>
  </si>
  <si>
    <t>Total Asset</t>
  </si>
  <si>
    <t>Share capital</t>
  </si>
  <si>
    <t>Add: capital contribution</t>
  </si>
  <si>
    <t>Retained earnings</t>
  </si>
  <si>
    <t>Less: dividends</t>
  </si>
  <si>
    <t>Add: net profit</t>
  </si>
  <si>
    <t>Total Liability</t>
  </si>
  <si>
    <t>Total Equity</t>
  </si>
  <si>
    <t>Cash flow to lender</t>
  </si>
  <si>
    <t>Cash flow to shareholder</t>
  </si>
  <si>
    <t>Debt IRR</t>
  </si>
  <si>
    <t>Equity IRR</t>
  </si>
  <si>
    <t>Debt</t>
  </si>
  <si>
    <t>Model</t>
  </si>
  <si>
    <t>AUD</t>
  </si>
  <si>
    <t>Total EPC &amp; connection cost</t>
  </si>
  <si>
    <t>Funding source</t>
  </si>
  <si>
    <t>Installed capacity</t>
  </si>
  <si>
    <t>MWac</t>
  </si>
  <si>
    <t>MWdc</t>
  </si>
  <si>
    <t>Net capacity factor (P50)</t>
  </si>
  <si>
    <t>Marginal Loss Factor (MLF)</t>
  </si>
  <si>
    <t>compounding from year 2</t>
  </si>
  <si>
    <t>static for the project life</t>
  </si>
  <si>
    <t>Contracted revenue</t>
  </si>
  <si>
    <t>Spot revenue</t>
  </si>
  <si>
    <t>AUD/MWh</t>
  </si>
  <si>
    <t>no escalation</t>
  </si>
  <si>
    <t>PPA tenor</t>
  </si>
  <si>
    <t>Negative pricing co-efficient</t>
  </si>
  <si>
    <t>Spot price (2028)</t>
  </si>
  <si>
    <t>Spot price escalation</t>
  </si>
  <si>
    <t>5% of merchant volume is lost / curtailed due to negative prices (ie. no revenue)</t>
  </si>
  <si>
    <t>straight line depreciation over 20 years</t>
  </si>
  <si>
    <t>Tax</t>
  </si>
  <si>
    <t>Corporate tax rate</t>
  </si>
  <si>
    <t>Operational Expense</t>
  </si>
  <si>
    <t>Operating expense escalation</t>
  </si>
  <si>
    <t>Fixed OPEX &amp; AEMO fees</t>
  </si>
  <si>
    <t>AUD/MWac/yr</t>
  </si>
  <si>
    <t>Fixed OPEX &amp; AEMO fees (per MWac)</t>
  </si>
  <si>
    <t>AUD/yr</t>
  </si>
  <si>
    <t>straight line capex spend in 2027</t>
  </si>
  <si>
    <t>Generation</t>
  </si>
  <si>
    <t>Notional repayment profile</t>
  </si>
  <si>
    <t>Target DSCR</t>
  </si>
  <si>
    <t>All-in swapped rate of 6.50% p.a. (BBSY + Margin)</t>
  </si>
  <si>
    <t>Mini-perm</t>
  </si>
  <si>
    <t>Tenor</t>
  </si>
  <si>
    <t>Letter of credit fee</t>
  </si>
  <si>
    <t>Debt drawdown</t>
  </si>
  <si>
    <t>Senior Debt</t>
  </si>
  <si>
    <t>as per page 1</t>
  </si>
  <si>
    <t>Gross generation</t>
  </si>
  <si>
    <t>COD flag</t>
  </si>
  <si>
    <t>Net generation</t>
  </si>
  <si>
    <t>Contracted volume</t>
  </si>
  <si>
    <t>Merchant</t>
  </si>
  <si>
    <t>Total PPA revenue</t>
  </si>
  <si>
    <t>Merchant volume</t>
  </si>
  <si>
    <t>Total Merchant revenue</t>
  </si>
  <si>
    <t>Escalation factor</t>
  </si>
  <si>
    <t>Useful life</t>
  </si>
  <si>
    <t>Depreciation flag</t>
  </si>
  <si>
    <t>Balance Sheet</t>
  </si>
  <si>
    <t>Debt service</t>
  </si>
  <si>
    <t>Min. DSCR (Year 1 - Year 5)</t>
  </si>
  <si>
    <t>Operating period counter</t>
  </si>
  <si>
    <t>DSCR (Year 1 - Year 5)</t>
  </si>
  <si>
    <t>Target debt size</t>
  </si>
  <si>
    <t>Add: Total EPC &amp; connection cost</t>
  </si>
  <si>
    <t>Interest during construction</t>
  </si>
  <si>
    <t>Add: IDC</t>
  </si>
  <si>
    <t>Interest paid</t>
  </si>
  <si>
    <t>Profit before tax</t>
  </si>
  <si>
    <t>Net profit</t>
  </si>
  <si>
    <t>Less: bullet repayment</t>
  </si>
  <si>
    <t>Less: cash sweep prepayment</t>
  </si>
  <si>
    <t>Scheduled repayment</t>
  </si>
  <si>
    <t>Cash available for prepayment</t>
  </si>
  <si>
    <t>Bullet switch</t>
  </si>
  <si>
    <t>Cash available for distribution</t>
  </si>
  <si>
    <t>Cash sweep prepayment</t>
  </si>
  <si>
    <t>Bullet repayment</t>
  </si>
  <si>
    <t>Notional Debt period flag</t>
  </si>
  <si>
    <t>Income Statement</t>
  </si>
  <si>
    <t>Senior debt</t>
  </si>
  <si>
    <t>Scheduled debt service</t>
  </si>
  <si>
    <t>Principal repayment</t>
  </si>
  <si>
    <t>Project cash flow</t>
  </si>
  <si>
    <t>Project</t>
  </si>
  <si>
    <t>Project IRR</t>
  </si>
  <si>
    <t>Unlevered tax expense</t>
  </si>
  <si>
    <t>NOL</t>
  </si>
  <si>
    <t>Add: new loss</t>
  </si>
  <si>
    <t>Less: loss utilised</t>
  </si>
  <si>
    <t>Adjusted taxable income</t>
  </si>
  <si>
    <t>P-IRR</t>
  </si>
  <si>
    <t>P-IRR (3.9%) is low due to the interest tax shield. The levered entity generates a NOL pool from Years 1–5 interest deductions, deferring tax payments through Year 20. On an unlevered basis, tax is payable from Year 1 with no carry-forward, reducing early-year cash flows. The spread represents the timing value of the tax shield, not project underperformance.</t>
  </si>
  <si>
    <t>Merchant exposure</t>
  </si>
  <si>
    <t>Debt sizing</t>
  </si>
  <si>
    <t>Key metrics and returns</t>
  </si>
  <si>
    <t>Breakeven price factor</t>
  </si>
  <si>
    <t>PPA Price</t>
  </si>
  <si>
    <t>Merchant Price (2028)</t>
  </si>
  <si>
    <t>Merchant Intensity</t>
  </si>
  <si>
    <t>adjusted in Input!E32</t>
  </si>
  <si>
    <t>Merchant proportion</t>
  </si>
  <si>
    <t>Merchant CFADS</t>
  </si>
  <si>
    <t>PPA CFADS</t>
  </si>
  <si>
    <t>Discount rate</t>
  </si>
  <si>
    <t>Cash flow statement</t>
  </si>
  <si>
    <t>Sensitivities</t>
  </si>
  <si>
    <t>Min.DSCR</t>
  </si>
  <si>
    <t>Avg DSCR</t>
  </si>
  <si>
    <t>E-IRR</t>
  </si>
  <si>
    <t>D-IRR</t>
  </si>
  <si>
    <t>Spot -15%</t>
  </si>
  <si>
    <t>P90 generation</t>
  </si>
  <si>
    <t>Curtailment +5%</t>
  </si>
  <si>
    <t>OPEX +10%</t>
  </si>
  <si>
    <t>MLF 0.82</t>
  </si>
  <si>
    <t>Interest + 1%</t>
  </si>
  <si>
    <t>Methodology</t>
  </si>
  <si>
    <t>Spot price (2028) * 0.85</t>
  </si>
  <si>
    <t>Net capacity factor * 0.9</t>
  </si>
  <si>
    <t>Negative pricing co-efficient +5%</t>
  </si>
  <si>
    <t>Fixed OPEX * 1.1</t>
  </si>
  <si>
    <t>MLF = 0.82</t>
  </si>
  <si>
    <t>Interest rate + 1%</t>
  </si>
  <si>
    <t>E-IRR suppressed at 4.1% due to no refi modelled at mini-perm maturity. Dividends commence Year 14. True E-IRR contingent on refinancing terms.</t>
  </si>
  <si>
    <t>The DSCR sized debt represents ~60% of total project cost (57.7% of total project cost &amp; IDC), which are both lower than the 60% expectation</t>
  </si>
  <si>
    <t>Cash Flow Statement</t>
  </si>
  <si>
    <t>Sensitivity</t>
  </si>
  <si>
    <t>Financial Statements</t>
  </si>
  <si>
    <t>Base (Live)</t>
  </si>
  <si>
    <t>Debt size (AUD)</t>
  </si>
  <si>
    <t>date</t>
  </si>
  <si>
    <t>%</t>
  </si>
  <si>
    <t>affects PPA price and Spot price (2028)</t>
  </si>
  <si>
    <t>days</t>
  </si>
  <si>
    <t>hrs</t>
  </si>
  <si>
    <t>Actual debt period</t>
  </si>
  <si>
    <t>Degradation</t>
  </si>
  <si>
    <t>Degradation factor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</si>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</sst>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.0;\(#,##0.0\);\-"/>
    <numFmt numFmtId="165" formatCode="yyyy\/mm\/dd"/>
    <numFmt numFmtId="166" formatCode="#,##0.0%;\(#,##0.0%\);\-"/>
    <numFmt numFmtId="167" formatCode="#,##0.0\x;\(#,##0.0\x\);\-"/>
    <numFmt numFmtId="168" formatCode="_(* #,##0.00_);_(* \(#,##0.00\);_(* &quot;-&quot;??_);_(@_)"/>
    <numFmt numFmtId="169" formatCode="#,##0.0000;\(#,##0.0000\);\-"/>
    <numFmt numFmtId="170" formatCode="#,##0.00%;\(#,##0.00%\);\-"/>
    <numFmt numFmtId="171" formatCode="#,##0.00\x;\(#,##0.00\x\);\-"/>
    <numFmt numFmtId="172" formatCode="#,##0.00;\(#,##0.00\);\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2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A25AE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84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1" xfId="0" applyFont="1" applyBorder="1"/>
    <xf numFmtId="9" fontId="0" fillId="0" borderId="0" xfId="2" applyFont="1"/>
    <xf numFmtId="0" fontId="4" fillId="0" borderId="0" xfId="0" applyFont="1"/>
    <xf numFmtId="0" fontId="7" fillId="0" borderId="0" xfId="0" applyFont="1" applyFill="1"/>
    <xf numFmtId="165" fontId="5" fillId="0" borderId="0" xfId="0" applyNumberFormat="1" applyFont="1" applyFill="1"/>
    <xf numFmtId="0" fontId="0" fillId="0" borderId="0" xfId="0" applyFont="1" applyFill="1"/>
    <xf numFmtId="164" fontId="0" fillId="0" borderId="0" xfId="2" applyNumberFormat="1" applyFont="1" applyFill="1"/>
    <xf numFmtId="164" fontId="0" fillId="0" borderId="1" xfId="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/>
    <xf numFmtId="0" fontId="2" fillId="2" borderId="0" xfId="0" applyFont="1" applyFill="1"/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0" fillId="0" borderId="4" xfId="0" applyFont="1" applyBorder="1" applyAlignment="1">
      <alignment horizontal="center"/>
    </xf>
    <xf numFmtId="9" fontId="6" fillId="0" borderId="0" xfId="2" applyFont="1" applyAlignment="1">
      <alignment horizontal="center"/>
    </xf>
    <xf numFmtId="164" fontId="7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9" fontId="6" fillId="0" borderId="1" xfId="2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11" fillId="2" borderId="0" xfId="0" applyFont="1" applyFill="1"/>
    <xf numFmtId="0" fontId="5" fillId="2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0" fontId="11" fillId="2" borderId="0" xfId="0" applyFont="1" applyFill="1" applyAlignment="1">
      <alignment horizontal="center"/>
    </xf>
    <xf numFmtId="164" fontId="0" fillId="0" borderId="0" xfId="0" applyNumberFormat="1" applyFont="1"/>
    <xf numFmtId="164" fontId="0" fillId="0" borderId="0" xfId="0" applyNumberFormat="1" applyFont="1" applyFill="1"/>
    <xf numFmtId="0" fontId="0" fillId="0" borderId="3" xfId="0" applyFont="1" applyBorder="1"/>
    <xf numFmtId="164" fontId="0" fillId="0" borderId="1" xfId="0" applyNumberFormat="1" applyFont="1" applyFill="1" applyBorder="1"/>
    <xf numFmtId="0" fontId="0" fillId="2" borderId="0" xfId="0" applyFont="1" applyFill="1"/>
    <xf numFmtId="0" fontId="0" fillId="0" borderId="0" xfId="0" applyFont="1" applyBorder="1"/>
    <xf numFmtId="0" fontId="2" fillId="0" borderId="0" xfId="0" applyFont="1" applyBorder="1"/>
    <xf numFmtId="0" fontId="8" fillId="0" borderId="0" xfId="0" applyFont="1" applyFill="1" applyAlignment="1">
      <alignment horizontal="center"/>
    </xf>
    <xf numFmtId="0" fontId="0" fillId="0" borderId="1" xfId="0" applyFont="1" applyFill="1" applyBorder="1"/>
    <xf numFmtId="164" fontId="8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65" fontId="8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/>
    </xf>
    <xf numFmtId="164" fontId="5" fillId="0" borderId="0" xfId="0" applyNumberFormat="1" applyFont="1" applyFill="1"/>
    <xf numFmtId="164" fontId="7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64" fontId="0" fillId="0" borderId="0" xfId="0" applyNumberFormat="1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4" fontId="0" fillId="0" borderId="4" xfId="0" applyNumberFormat="1" applyFont="1" applyFill="1" applyBorder="1"/>
    <xf numFmtId="164" fontId="7" fillId="0" borderId="0" xfId="0" applyNumberFormat="1" applyFont="1" applyAlignment="1">
      <alignment horizontal="center"/>
    </xf>
    <xf numFmtId="0" fontId="2" fillId="0" borderId="0" xfId="0" applyFont="1" applyBorder="1" applyAlignment="1"/>
    <xf numFmtId="0" fontId="0" fillId="2" borderId="0" xfId="0" applyFont="1" applyFill="1" applyAlignment="1"/>
    <xf numFmtId="0" fontId="0" fillId="0" borderId="0" xfId="0" applyFont="1" applyAlignment="1"/>
    <xf numFmtId="166" fontId="7" fillId="0" borderId="0" xfId="0" applyNumberFormat="1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0" xfId="0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7" fillId="0" borderId="0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4" fontId="5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167" fontId="7" fillId="0" borderId="0" xfId="0" applyNumberFormat="1" applyFont="1" applyFill="1" applyAlignment="1">
      <alignment horizontal="center"/>
    </xf>
    <xf numFmtId="0" fontId="13" fillId="0" borderId="0" xfId="0" applyFont="1"/>
    <xf numFmtId="164" fontId="5" fillId="0" borderId="1" xfId="0" applyNumberFormat="1" applyFont="1" applyFill="1" applyBorder="1" applyAlignment="1">
      <alignment horizontal="center"/>
    </xf>
    <xf numFmtId="166" fontId="8" fillId="0" borderId="0" xfId="0" applyNumberFormat="1" applyFont="1" applyFill="1" applyAlignment="1">
      <alignment horizontal="center"/>
    </xf>
    <xf numFmtId="164" fontId="7" fillId="0" borderId="0" xfId="0" applyNumberFormat="1" applyFont="1" applyFill="1"/>
    <xf numFmtId="166" fontId="0" fillId="0" borderId="0" xfId="0" applyNumberFormat="1" applyFont="1" applyFill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4" fontId="0" fillId="0" borderId="4" xfId="0" applyNumberFormat="1" applyFont="1" applyFill="1" applyBorder="1" applyAlignment="1">
      <alignment horizontal="center"/>
    </xf>
    <xf numFmtId="166" fontId="12" fillId="0" borderId="0" xfId="0" applyNumberFormat="1" applyFont="1" applyFill="1" applyAlignment="1">
      <alignment horizontal="center"/>
    </xf>
    <xf numFmtId="166" fontId="12" fillId="0" borderId="0" xfId="0" applyNumberFormat="1" applyFont="1" applyFill="1"/>
    <xf numFmtId="164" fontId="0" fillId="0" borderId="5" xfId="0" applyNumberFormat="1" applyFont="1" applyFill="1" applyBorder="1"/>
    <xf numFmtId="164" fontId="0" fillId="0" borderId="0" xfId="0" applyNumberFormat="1" applyFont="1" applyFill="1" applyBorder="1" applyAlignment="1">
      <alignment horizontal="center"/>
    </xf>
    <xf numFmtId="0" fontId="14" fillId="2" borderId="0" xfId="0" applyFont="1" applyFill="1"/>
    <xf numFmtId="0" fontId="4" fillId="0" borderId="0" xfId="0" applyFont="1" applyBorder="1"/>
    <xf numFmtId="0" fontId="15" fillId="2" borderId="0" xfId="0" applyFont="1" applyFill="1"/>
    <xf numFmtId="0" fontId="16" fillId="0" borderId="0" xfId="0" applyFont="1"/>
    <xf numFmtId="0" fontId="12" fillId="0" borderId="0" xfId="0" applyFont="1" applyFill="1" applyBorder="1"/>
    <xf numFmtId="0" fontId="2" fillId="0" borderId="0" xfId="0" applyFont="1" applyFill="1"/>
    <xf numFmtId="0" fontId="4" fillId="0" borderId="0" xfId="0" applyFont="1" applyFill="1"/>
    <xf numFmtId="164" fontId="17" fillId="0" borderId="1" xfId="0" applyNumberFormat="1" applyFont="1" applyFill="1" applyBorder="1" applyAlignment="1" applyProtection="1"/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18" fillId="0" borderId="0" xfId="0" applyFont="1"/>
    <xf numFmtId="164" fontId="5" fillId="0" borderId="0" xfId="0" applyNumberFormat="1" applyFont="1" applyFill="1" applyBorder="1" applyAlignment="1">
      <alignment horizontal="center"/>
    </xf>
    <xf numFmtId="10" fontId="0" fillId="0" borderId="0" xfId="0" applyNumberFormat="1" applyFont="1" applyAlignment="1">
      <alignment horizontal="center"/>
    </xf>
    <xf numFmtId="171" fontId="7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166" fontId="5" fillId="0" borderId="0" xfId="0" applyNumberFormat="1" applyFont="1" applyFill="1" applyAlignment="1">
      <alignment horizontal="center"/>
    </xf>
    <xf numFmtId="0" fontId="0" fillId="0" borderId="0" xfId="0" applyNumberFormat="1" applyFont="1" applyFill="1"/>
    <xf numFmtId="170" fontId="8" fillId="0" borderId="0" xfId="0" applyNumberFormat="1" applyFont="1" applyFill="1" applyAlignment="1">
      <alignment horizontal="center"/>
    </xf>
    <xf numFmtId="172" fontId="7" fillId="0" borderId="0" xfId="0" applyNumberFormat="1" applyFont="1" applyFill="1" applyAlignment="1">
      <alignment horizontal="center"/>
    </xf>
    <xf numFmtId="166" fontId="0" fillId="0" borderId="0" xfId="2" applyNumberFormat="1" applyFont="1" applyFill="1" applyBorder="1"/>
    <xf numFmtId="169" fontId="0" fillId="0" borderId="0" xfId="2" applyNumberFormat="1" applyFont="1" applyFill="1"/>
    <xf numFmtId="170" fontId="0" fillId="0" borderId="0" xfId="2" applyNumberFormat="1" applyFont="1" applyFill="1" applyBorder="1"/>
    <xf numFmtId="164" fontId="0" fillId="0" borderId="1" xfId="2" applyNumberFormat="1" applyFont="1" applyFill="1" applyBorder="1"/>
    <xf numFmtId="9" fontId="8" fillId="0" borderId="0" xfId="2" applyFont="1" applyFill="1" applyAlignment="1">
      <alignment horizontal="center"/>
    </xf>
    <xf numFmtId="164" fontId="12" fillId="0" borderId="0" xfId="0" applyNumberFormat="1" applyFont="1" applyFill="1"/>
    <xf numFmtId="164" fontId="12" fillId="0" borderId="0" xfId="0" applyNumberFormat="1" applyFont="1" applyFill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171" fontId="8" fillId="0" borderId="0" xfId="0" applyNumberFormat="1" applyFont="1" applyFill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171" fontId="0" fillId="0" borderId="0" xfId="0" applyNumberFormat="1" applyFont="1" applyFill="1"/>
    <xf numFmtId="164" fontId="5" fillId="0" borderId="4" xfId="0" applyNumberFormat="1" applyFont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171" fontId="0" fillId="0" borderId="0" xfId="0" applyNumberFormat="1" applyFont="1" applyFill="1" applyBorder="1"/>
    <xf numFmtId="171" fontId="0" fillId="0" borderId="0" xfId="0" applyNumberFormat="1" applyFont="1" applyFill="1" applyAlignment="1">
      <alignment horizontal="center"/>
    </xf>
    <xf numFmtId="0" fontId="0" fillId="0" borderId="0" xfId="0" applyFont="1" applyAlignment="1">
      <alignment wrapText="1"/>
    </xf>
    <xf numFmtId="166" fontId="0" fillId="0" borderId="1" xfId="0" applyNumberFormat="1" applyFont="1" applyFill="1" applyBorder="1" applyAlignment="1">
      <alignment horizontal="center"/>
    </xf>
    <xf numFmtId="0" fontId="0" fillId="0" borderId="3" xfId="0" applyFont="1" applyFill="1" applyBorder="1"/>
    <xf numFmtId="0" fontId="5" fillId="2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166" fontId="0" fillId="0" borderId="0" xfId="0" applyNumberFormat="1" applyFont="1"/>
    <xf numFmtId="0" fontId="1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71" fontId="8" fillId="0" borderId="0" xfId="0" applyNumberFormat="1" applyFont="1" applyAlignment="1">
      <alignment horizontal="center"/>
    </xf>
    <xf numFmtId="171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6" fontId="8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2" fontId="7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11" fillId="2" borderId="0" xfId="0" applyNumberFormat="1" applyFont="1" applyFill="1"/>
    <xf numFmtId="0" fontId="22" fillId="0" borderId="0" xfId="0" applyFont="1"/>
    <xf numFmtId="164" fontId="5" fillId="0" borderId="0" xfId="0" applyNumberFormat="1" applyFont="1"/>
    <xf numFmtId="164" fontId="5" fillId="0" borderId="1" xfId="0" applyNumberFormat="1" applyFont="1" applyBorder="1"/>
    <xf numFmtId="0" fontId="23" fillId="0" borderId="0" xfId="0" applyFont="1"/>
    <xf numFmtId="166" fontId="23" fillId="0" borderId="0" xfId="0" applyNumberFormat="1" applyFont="1"/>
    <xf numFmtId="0" fontId="5" fillId="0" borderId="6" xfId="0" applyFont="1" applyBorder="1"/>
    <xf numFmtId="164" fontId="5" fillId="0" borderId="6" xfId="0" applyNumberFormat="1" applyFont="1" applyBorder="1"/>
    <xf numFmtId="0" fontId="15" fillId="0" borderId="0" xfId="0" applyFont="1" applyFill="1"/>
    <xf numFmtId="0" fontId="11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24" fillId="4" borderId="0" xfId="0" applyFont="1" applyFill="1"/>
    <xf numFmtId="0" fontId="24" fillId="4" borderId="0" xfId="0" applyFont="1" applyFill="1" applyAlignment="1">
      <alignment horizontal="center"/>
    </xf>
    <xf numFmtId="166" fontId="0" fillId="0" borderId="1" xfId="0" applyNumberFormat="1" applyFont="1" applyFill="1" applyBorder="1"/>
    <xf numFmtId="166" fontId="0" fillId="0" borderId="5" xfId="0" applyNumberFormat="1" applyFont="1" applyFill="1" applyBorder="1" applyAlignment="1">
      <alignment horizontal="center"/>
    </xf>
    <xf numFmtId="164" fontId="5" fillId="0" borderId="1" xfId="0" applyNumberFormat="1" applyFont="1" applyFill="1" applyBorder="1"/>
    <xf numFmtId="171" fontId="5" fillId="0" borderId="5" xfId="0" applyNumberFormat="1" applyFont="1" applyFill="1" applyBorder="1" applyAlignment="1">
      <alignment horizontal="center"/>
    </xf>
    <xf numFmtId="171" fontId="0" fillId="0" borderId="5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171" fontId="8" fillId="0" borderId="7" xfId="0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vertical="center" wrapText="1"/>
    </xf>
    <xf numFmtId="0" fontId="0" fillId="0" borderId="4" xfId="0" applyFont="1" applyFill="1" applyBorder="1" applyAlignment="1">
      <alignment vertical="center"/>
    </xf>
    <xf numFmtId="171" fontId="8" fillId="0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 wrapText="1"/>
    </xf>
    <xf numFmtId="166" fontId="8" fillId="0" borderId="4" xfId="0" applyNumberFormat="1" applyFont="1" applyFill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164" fontId="5" fillId="0" borderId="7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</cellXfs>
  <cellStyles count="4">
    <cellStyle name="Comma" xfId="1" builtinId="3"/>
    <cellStyle name="Comma 2" xfId="3" xr:uid="{0422DB8F-5371-48DE-BC6B-489FB1EFCC36}"/>
    <cellStyle name="Normal" xfId="0" builtinId="0"/>
    <cellStyle name="Percent" xfId="2" builtinId="5"/>
  </cellStyles>
  <dxfs count="4">
    <dxf>
      <font>
        <color rgb="FF3333FF"/>
      </font>
    </dxf>
    <dxf>
      <font>
        <color rgb="FFFF0000"/>
      </font>
    </dxf>
    <dxf>
      <font>
        <color rgb="FF3333FF"/>
      </font>
    </dxf>
    <dxf>
      <font>
        <color rgb="FFFF0000"/>
      </font>
    </dxf>
  </dxfs>
  <tableStyles count="0" defaultTableStyle="TableStyleMedium2" defaultPivotStyle="PivotStyleLight16"/>
  <colors>
    <mruColors>
      <color rgb="FF0A25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02A-BCB2-47E8-8190-17D3A01DFE23}">
  <sheetPr codeName="Sheet1"/>
  <dimension ref="A1:H18"/>
  <sheetViews>
    <sheetView showGridLines="0" tabSelected="1" workbookViewId="0"/>
  </sheetViews>
  <sheetFormatPr defaultRowHeight="14.5" x14ac:dyDescent="0.35"/>
  <cols>
    <col min="1" max="2" width="1.6328125" style="2" customWidth="1"/>
    <col min="3" max="3" width="1.6328125" style="5" customWidth="1"/>
    <col min="4" max="4" width="40.6328125" style="2" customWidth="1"/>
    <col min="5" max="5" width="15.6328125" style="16" customWidth="1"/>
    <col min="6" max="7" width="20.6328125" style="16" customWidth="1"/>
    <col min="8" max="8" width="50.6328125" style="124" customWidth="1"/>
    <col min="9" max="9" width="1.6328125" style="2" customWidth="1"/>
    <col min="10" max="17" width="15.6328125" style="2" customWidth="1"/>
    <col min="18" max="16384" width="8.7265625" style="2"/>
  </cols>
  <sheetData>
    <row r="1" spans="1:8" ht="26" x14ac:dyDescent="0.6">
      <c r="A1" s="98" t="s">
        <v>245</v>
      </c>
    </row>
    <row r="3" spans="1:8" x14ac:dyDescent="0.35">
      <c r="A3" s="32" t="s">
        <v>66</v>
      </c>
      <c r="B3" s="32"/>
      <c r="C3" s="90"/>
      <c r="D3" s="33"/>
      <c r="E3" s="49"/>
      <c r="F3" s="49"/>
      <c r="G3" s="49"/>
      <c r="H3" s="127" t="s">
        <v>6</v>
      </c>
    </row>
    <row r="4" spans="1:8" x14ac:dyDescent="0.35">
      <c r="C4" s="89" t="s">
        <v>200</v>
      </c>
    </row>
    <row r="5" spans="1:8" ht="43.5" x14ac:dyDescent="0.35">
      <c r="C5" s="89"/>
      <c r="D5" s="140" t="str">
        <f>Model!D141</f>
        <v>Target debt size</v>
      </c>
      <c r="E5" s="179">
        <f>Model!E141</f>
        <v>131825074.44346899</v>
      </c>
      <c r="F5" s="138" t="s">
        <v>114</v>
      </c>
      <c r="G5" s="138"/>
      <c r="H5" s="180" t="s">
        <v>231</v>
      </c>
    </row>
    <row r="6" spans="1:8" x14ac:dyDescent="0.35">
      <c r="C6" s="89"/>
      <c r="D6" s="135"/>
      <c r="E6" s="136"/>
      <c r="F6" s="136"/>
      <c r="G6" s="136"/>
      <c r="H6" s="137"/>
    </row>
    <row r="7" spans="1:8" x14ac:dyDescent="0.35">
      <c r="C7" s="89" t="s">
        <v>201</v>
      </c>
      <c r="D7" s="135"/>
      <c r="E7" s="136"/>
      <c r="F7" s="136"/>
      <c r="G7" s="136"/>
      <c r="H7" s="137"/>
    </row>
    <row r="8" spans="1:8" x14ac:dyDescent="0.35">
      <c r="C8" s="89"/>
      <c r="D8" s="168" t="str">
        <f>Model!D181</f>
        <v>Min. DSCR</v>
      </c>
      <c r="E8" s="169">
        <f ca="1">Model!E181</f>
        <v>1.3499743268428965</v>
      </c>
      <c r="F8" s="170"/>
      <c r="G8" s="170"/>
      <c r="H8" s="171"/>
    </row>
    <row r="9" spans="1:8" x14ac:dyDescent="0.35">
      <c r="C9" s="89"/>
      <c r="D9" s="172" t="str">
        <f>Model!D182</f>
        <v>Average DSCR</v>
      </c>
      <c r="E9" s="173">
        <f ca="1">Model!E182</f>
        <v>1.3631561146206559</v>
      </c>
      <c r="F9" s="166"/>
      <c r="G9" s="166"/>
      <c r="H9" s="174"/>
    </row>
    <row r="10" spans="1:8" x14ac:dyDescent="0.35">
      <c r="C10" s="89"/>
      <c r="D10" s="172" t="str">
        <f>Model!D190</f>
        <v>LLCR</v>
      </c>
      <c r="E10" s="173">
        <f ca="1">Model!E190</f>
        <v>1.2296297742080591</v>
      </c>
      <c r="F10" s="166"/>
      <c r="G10" s="166"/>
      <c r="H10" s="174"/>
    </row>
    <row r="11" spans="1:8" ht="101.5" x14ac:dyDescent="0.35">
      <c r="C11" s="89"/>
      <c r="D11" s="167" t="s">
        <v>197</v>
      </c>
      <c r="E11" s="175">
        <f>Model!E236</f>
        <v>3.8598629832267764E-2</v>
      </c>
      <c r="F11" s="166"/>
      <c r="G11" s="166"/>
      <c r="H11" s="174" t="s">
        <v>198</v>
      </c>
    </row>
    <row r="12" spans="1:8" x14ac:dyDescent="0.35">
      <c r="C12" s="89"/>
      <c r="D12" s="167" t="str">
        <f>Model!D245</f>
        <v>Debt IRR</v>
      </c>
      <c r="E12" s="176">
        <f>Model!E245</f>
        <v>6.4925959706306463E-2</v>
      </c>
      <c r="F12" s="166"/>
      <c r="G12" s="166"/>
      <c r="H12" s="174"/>
    </row>
    <row r="13" spans="1:8" ht="43.5" x14ac:dyDescent="0.35">
      <c r="C13" s="89"/>
      <c r="D13" s="167" t="str">
        <f>Model!D251</f>
        <v>Equity IRR</v>
      </c>
      <c r="E13" s="176">
        <f>Model!E251</f>
        <v>4.132892787456513E-2</v>
      </c>
      <c r="F13" s="166"/>
      <c r="G13" s="166"/>
      <c r="H13" s="174" t="s">
        <v>230</v>
      </c>
    </row>
    <row r="14" spans="1:8" x14ac:dyDescent="0.35">
      <c r="C14" s="89"/>
      <c r="D14" s="140"/>
      <c r="E14" s="141"/>
      <c r="F14" s="142" t="s">
        <v>203</v>
      </c>
      <c r="G14" s="142" t="s">
        <v>204</v>
      </c>
      <c r="H14" s="139"/>
    </row>
    <row r="15" spans="1:8" x14ac:dyDescent="0.35">
      <c r="D15" s="177" t="s">
        <v>202</v>
      </c>
      <c r="E15" s="143">
        <v>0.80982036728526241</v>
      </c>
      <c r="F15" s="178">
        <f>75*$E15</f>
        <v>60.736527546394683</v>
      </c>
      <c r="G15" s="178">
        <f>55*E15</f>
        <v>44.540120200689429</v>
      </c>
      <c r="H15" s="171" t="s">
        <v>206</v>
      </c>
    </row>
    <row r="16" spans="1:8" x14ac:dyDescent="0.35">
      <c r="D16" s="144"/>
      <c r="E16" s="136"/>
      <c r="F16" s="136"/>
      <c r="G16" s="136"/>
      <c r="H16" s="137"/>
    </row>
    <row r="17" spans="3:8" x14ac:dyDescent="0.35">
      <c r="C17" s="89" t="s">
        <v>199</v>
      </c>
      <c r="D17" s="135"/>
      <c r="E17" s="136"/>
      <c r="F17" s="136"/>
      <c r="G17" s="136"/>
      <c r="H17" s="137"/>
    </row>
    <row r="18" spans="3:8" x14ac:dyDescent="0.35">
      <c r="D18" s="140" t="str">
        <f>Model!D299</f>
        <v>Merchant Intensity</v>
      </c>
      <c r="E18" s="141">
        <f ca="1">Model!E299</f>
        <v>0.54149554998135063</v>
      </c>
      <c r="F18" s="138"/>
      <c r="G18" s="138"/>
      <c r="H18" s="139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86C1-E9B3-4669-9701-772846E9358A}">
  <dimension ref="A1:L10"/>
  <sheetViews>
    <sheetView showGridLines="0" workbookViewId="0"/>
  </sheetViews>
  <sheetFormatPr defaultRowHeight="14.5" x14ac:dyDescent="0.35"/>
  <cols>
    <col min="1" max="3" width="1.6328125" customWidth="1"/>
    <col min="4" max="4" width="40.6328125" customWidth="1"/>
    <col min="5" max="11" width="15.6328125" customWidth="1"/>
    <col min="12" max="12" width="28" bestFit="1" customWidth="1"/>
  </cols>
  <sheetData>
    <row r="1" spans="1:12" ht="26" x14ac:dyDescent="0.6">
      <c r="A1" s="98" t="s">
        <v>233</v>
      </c>
    </row>
    <row r="2" spans="1:12" x14ac:dyDescent="0.35">
      <c r="D2" s="159" t="s">
        <v>212</v>
      </c>
      <c r="E2" s="154"/>
      <c r="F2" s="155"/>
      <c r="G2" s="156"/>
      <c r="H2" s="157"/>
      <c r="I2" s="157"/>
      <c r="J2" s="157"/>
      <c r="K2" s="158"/>
      <c r="L2" s="160" t="s">
        <v>223</v>
      </c>
    </row>
    <row r="3" spans="1:12" x14ac:dyDescent="0.35">
      <c r="D3" s="130" t="s">
        <v>32</v>
      </c>
      <c r="E3" s="130" t="s">
        <v>236</v>
      </c>
      <c r="F3" s="130" t="s">
        <v>213</v>
      </c>
      <c r="G3" s="130" t="s">
        <v>214</v>
      </c>
      <c r="H3" s="130" t="s">
        <v>89</v>
      </c>
      <c r="I3" s="130" t="s">
        <v>197</v>
      </c>
      <c r="J3" s="130" t="s">
        <v>216</v>
      </c>
      <c r="K3" s="130" t="s">
        <v>215</v>
      </c>
    </row>
    <row r="4" spans="1:12" x14ac:dyDescent="0.35">
      <c r="D4" s="16" t="s">
        <v>235</v>
      </c>
      <c r="E4" s="26">
        <f>Summary!E5</f>
        <v>131825074.44346899</v>
      </c>
      <c r="F4" s="132">
        <f ca="1">Summary!E8</f>
        <v>1.3499743268428965</v>
      </c>
      <c r="G4" s="132">
        <f ca="1">Summary!E9</f>
        <v>1.3631561146206559</v>
      </c>
      <c r="H4" s="132">
        <f ca="1">Summary!E10</f>
        <v>1.2296297742080591</v>
      </c>
      <c r="I4" s="97">
        <f>Summary!E11</f>
        <v>3.8598629832267764E-2</v>
      </c>
      <c r="J4" s="97">
        <f>Summary!E12</f>
        <v>6.4925959706306463E-2</v>
      </c>
      <c r="K4" s="97">
        <f>Summary!E13</f>
        <v>4.132892787456513E-2</v>
      </c>
    </row>
    <row r="5" spans="1:12" x14ac:dyDescent="0.35">
      <c r="D5" s="16" t="s">
        <v>217</v>
      </c>
      <c r="E5" s="63">
        <v>124059666.00718375</v>
      </c>
      <c r="F5" s="133">
        <v>1.3497695791327793</v>
      </c>
      <c r="G5" s="133">
        <v>1.3667281327432335</v>
      </c>
      <c r="H5" s="133">
        <v>1.1681431412342014</v>
      </c>
      <c r="I5" s="73">
        <v>2.7703961730003356E-2</v>
      </c>
      <c r="J5" s="73">
        <v>6.4925941824913028E-2</v>
      </c>
      <c r="K5" s="73">
        <v>2.6049086451530461E-2</v>
      </c>
      <c r="L5" s="131" t="s">
        <v>224</v>
      </c>
    </row>
    <row r="6" spans="1:12" x14ac:dyDescent="0.35">
      <c r="D6" s="16" t="s">
        <v>218</v>
      </c>
      <c r="E6" s="63">
        <v>113916347.32417759</v>
      </c>
      <c r="F6" s="133">
        <v>1.3492498646381097</v>
      </c>
      <c r="G6" s="133">
        <v>1.3660112313534261</v>
      </c>
      <c r="H6" s="133">
        <v>1.2400559620504563</v>
      </c>
      <c r="I6" s="73">
        <v>2.8936651349067689E-2</v>
      </c>
      <c r="J6" s="73">
        <v>6.4925947785377511E-2</v>
      </c>
      <c r="K6" s="73">
        <v>2.7582630515098572E-2</v>
      </c>
      <c r="L6" s="134" t="s">
        <v>225</v>
      </c>
    </row>
    <row r="7" spans="1:12" x14ac:dyDescent="0.35">
      <c r="D7" s="16" t="s">
        <v>219</v>
      </c>
      <c r="E7" s="63">
        <v>129085423.95430659</v>
      </c>
      <c r="F7" s="133">
        <v>1.3500615853718343</v>
      </c>
      <c r="G7" s="133">
        <v>1.3645194125712987</v>
      </c>
      <c r="H7" s="133">
        <v>1.2095950297647444</v>
      </c>
      <c r="I7" s="73">
        <v>3.5012766718864427E-2</v>
      </c>
      <c r="J7" s="73">
        <v>6.492595374584198E-2</v>
      </c>
      <c r="K7" s="73">
        <v>3.6205831170082095E-2</v>
      </c>
      <c r="L7" s="134" t="s">
        <v>226</v>
      </c>
    </row>
    <row r="8" spans="1:12" x14ac:dyDescent="0.35">
      <c r="D8" s="16" t="s">
        <v>220</v>
      </c>
      <c r="E8" s="63">
        <v>127023052.65793255</v>
      </c>
      <c r="F8" s="133">
        <v>1.3501302262222734</v>
      </c>
      <c r="G8" s="133">
        <v>1.3665348792451872</v>
      </c>
      <c r="H8" s="133">
        <v>1.2269927084933943</v>
      </c>
      <c r="I8" s="73">
        <v>3.5432937741279605E-2</v>
      </c>
      <c r="J8" s="73">
        <v>6.4925947785377511E-2</v>
      </c>
      <c r="K8" s="73">
        <v>3.6670890450477611E-2</v>
      </c>
      <c r="L8" s="134" t="s">
        <v>227</v>
      </c>
    </row>
    <row r="9" spans="1:12" x14ac:dyDescent="0.35">
      <c r="D9" s="16" t="s">
        <v>221</v>
      </c>
      <c r="E9" s="63">
        <v>119590545.18721873</v>
      </c>
      <c r="F9" s="133">
        <v>1.3497751091513603</v>
      </c>
      <c r="G9" s="133">
        <v>1.3652859758348259</v>
      </c>
      <c r="H9" s="133">
        <v>1.2370956044163983</v>
      </c>
      <c r="I9" s="73">
        <v>3.2119759917259211E-2</v>
      </c>
      <c r="J9" s="73">
        <v>6.4925947785377511E-2</v>
      </c>
      <c r="K9" s="73">
        <v>3.1888893246650687E-2</v>
      </c>
      <c r="L9" s="134" t="s">
        <v>228</v>
      </c>
    </row>
    <row r="10" spans="1:12" x14ac:dyDescent="0.35">
      <c r="D10" s="16" t="s">
        <v>222</v>
      </c>
      <c r="E10" s="63">
        <v>120467480.58172025</v>
      </c>
      <c r="F10" s="133">
        <v>1.349973858662193</v>
      </c>
      <c r="G10" s="133">
        <v>1.3631556390939576</v>
      </c>
      <c r="H10" s="133">
        <v>1.240045864885446</v>
      </c>
      <c r="I10" s="73">
        <v>3.8469579815864574E-2</v>
      </c>
      <c r="J10" s="73">
        <v>7.491400539875033E-2</v>
      </c>
      <c r="K10" s="73">
        <v>3.8653978705406197E-2</v>
      </c>
      <c r="L10" s="134" t="s">
        <v>229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F796-14FE-428F-99EC-B80CA8820BEF}">
  <sheetPr codeName="Sheet2"/>
  <dimension ref="A1:H65"/>
  <sheetViews>
    <sheetView showGridLines="0" workbookViewId="0"/>
  </sheetViews>
  <sheetFormatPr defaultRowHeight="14.5" x14ac:dyDescent="0.35"/>
  <cols>
    <col min="1" max="3" width="1.6328125" style="2" customWidth="1"/>
    <col min="4" max="4" width="40.6328125" style="2" customWidth="1"/>
    <col min="5" max="7" width="15.6328125" style="16" customWidth="1"/>
    <col min="8" max="8" width="100.6328125" style="66" customWidth="1"/>
    <col min="9" max="16384" width="8.7265625" style="2"/>
  </cols>
  <sheetData>
    <row r="1" spans="1:8" ht="26" x14ac:dyDescent="0.6">
      <c r="A1" s="98" t="s">
        <v>7</v>
      </c>
    </row>
    <row r="2" spans="1:8" x14ac:dyDescent="0.35">
      <c r="A2" s="43" t="s">
        <v>0</v>
      </c>
      <c r="B2" s="42"/>
      <c r="C2" s="42"/>
      <c r="D2" s="42"/>
      <c r="E2" s="68" t="s">
        <v>7</v>
      </c>
      <c r="F2" s="68" t="s">
        <v>7</v>
      </c>
      <c r="G2" s="68" t="s">
        <v>1</v>
      </c>
      <c r="H2" s="64" t="s">
        <v>6</v>
      </c>
    </row>
    <row r="3" spans="1:8" x14ac:dyDescent="0.35">
      <c r="A3" s="14" t="s">
        <v>25</v>
      </c>
      <c r="B3" s="14"/>
      <c r="C3" s="41"/>
      <c r="D3" s="41"/>
      <c r="E3" s="69"/>
      <c r="F3" s="69"/>
      <c r="G3" s="69"/>
      <c r="H3" s="65"/>
    </row>
    <row r="4" spans="1:8" x14ac:dyDescent="0.35">
      <c r="D4" s="31" t="s">
        <v>26</v>
      </c>
      <c r="E4" s="102">
        <f>DATE(2026,12,31)</f>
        <v>46387</v>
      </c>
      <c r="F4" s="70"/>
      <c r="G4" s="12" t="s">
        <v>237</v>
      </c>
    </row>
    <row r="5" spans="1:8" x14ac:dyDescent="0.35">
      <c r="D5" s="31" t="s">
        <v>27</v>
      </c>
      <c r="E5" s="50">
        <v>12</v>
      </c>
      <c r="F5" s="15"/>
      <c r="G5" s="12" t="s">
        <v>11</v>
      </c>
      <c r="H5" s="66" t="s">
        <v>142</v>
      </c>
    </row>
    <row r="6" spans="1:8" x14ac:dyDescent="0.35">
      <c r="D6" s="31" t="s">
        <v>28</v>
      </c>
      <c r="E6" s="52">
        <f>EOMONTH(E4 - 1, E5) + 1</f>
        <v>46753</v>
      </c>
      <c r="F6" s="71"/>
      <c r="G6" s="12" t="s">
        <v>237</v>
      </c>
    </row>
    <row r="7" spans="1:8" x14ac:dyDescent="0.35">
      <c r="D7" s="31" t="s">
        <v>29</v>
      </c>
      <c r="E7" s="15">
        <v>35</v>
      </c>
      <c r="F7" s="15"/>
      <c r="G7" s="12" t="s">
        <v>2</v>
      </c>
    </row>
    <row r="8" spans="1:8" x14ac:dyDescent="0.35">
      <c r="D8" s="31" t="s">
        <v>24</v>
      </c>
      <c r="E8" s="71">
        <f>EOMONTH(E6 - 1, E7 * 12)</f>
        <v>59536</v>
      </c>
      <c r="F8" s="71"/>
      <c r="G8" s="12" t="s">
        <v>237</v>
      </c>
    </row>
    <row r="9" spans="1:8" x14ac:dyDescent="0.35">
      <c r="D9" s="11"/>
      <c r="E9" s="12"/>
      <c r="F9" s="12"/>
      <c r="G9" s="12"/>
    </row>
    <row r="10" spans="1:8" x14ac:dyDescent="0.35">
      <c r="A10" s="14" t="s">
        <v>143</v>
      </c>
      <c r="B10" s="14"/>
      <c r="C10" s="41"/>
      <c r="D10" s="41"/>
      <c r="E10" s="69"/>
      <c r="F10" s="69"/>
      <c r="G10" s="69"/>
      <c r="H10" s="65"/>
    </row>
    <row r="11" spans="1:8" x14ac:dyDescent="0.35">
      <c r="D11" s="8" t="s">
        <v>117</v>
      </c>
      <c r="E11" s="24">
        <v>200</v>
      </c>
      <c r="G11" s="16" t="s">
        <v>119</v>
      </c>
      <c r="H11" s="66" t="s">
        <v>152</v>
      </c>
    </row>
    <row r="12" spans="1:8" x14ac:dyDescent="0.35">
      <c r="D12" s="2" t="s">
        <v>117</v>
      </c>
      <c r="E12" s="24">
        <v>160</v>
      </c>
      <c r="F12" s="24"/>
      <c r="G12" s="16" t="s">
        <v>118</v>
      </c>
      <c r="H12" s="66" t="s">
        <v>152</v>
      </c>
    </row>
    <row r="13" spans="1:8" x14ac:dyDescent="0.35">
      <c r="D13" s="2" t="s">
        <v>120</v>
      </c>
      <c r="E13" s="67">
        <v>0.24</v>
      </c>
      <c r="F13" s="67"/>
    </row>
    <row r="14" spans="1:8" x14ac:dyDescent="0.35">
      <c r="D14" s="2" t="s">
        <v>243</v>
      </c>
      <c r="E14" s="67">
        <v>5.0000000000000001E-3</v>
      </c>
      <c r="F14" s="67"/>
      <c r="G14" s="16" t="s">
        <v>4</v>
      </c>
      <c r="H14" s="66" t="s">
        <v>122</v>
      </c>
    </row>
    <row r="15" spans="1:8" x14ac:dyDescent="0.35">
      <c r="D15" s="2" t="s">
        <v>121</v>
      </c>
      <c r="E15" s="106">
        <v>0.88</v>
      </c>
      <c r="F15" s="67"/>
      <c r="H15" s="66" t="s">
        <v>123</v>
      </c>
    </row>
    <row r="16" spans="1:8" x14ac:dyDescent="0.35">
      <c r="E16" s="67"/>
      <c r="F16" s="67"/>
    </row>
    <row r="17" spans="1:8" x14ac:dyDescent="0.35">
      <c r="A17" s="14" t="s">
        <v>70</v>
      </c>
      <c r="B17" s="14"/>
      <c r="C17" s="41"/>
      <c r="D17" s="41"/>
      <c r="E17" s="69"/>
      <c r="F17" s="69"/>
      <c r="G17" s="69"/>
      <c r="H17" s="65"/>
    </row>
    <row r="18" spans="1:8" x14ac:dyDescent="0.35">
      <c r="D18" s="8" t="s">
        <v>115</v>
      </c>
      <c r="E18" s="24">
        <v>220000000</v>
      </c>
      <c r="F18" s="24"/>
      <c r="G18" s="16" t="s">
        <v>114</v>
      </c>
    </row>
    <row r="19" spans="1:8" x14ac:dyDescent="0.35">
      <c r="D19" s="3" t="s">
        <v>79</v>
      </c>
      <c r="E19" s="78">
        <f>SUM(E18:E18)</f>
        <v>220000000</v>
      </c>
      <c r="F19" s="99"/>
      <c r="G19" s="16" t="s">
        <v>114</v>
      </c>
    </row>
    <row r="20" spans="1:8" x14ac:dyDescent="0.35">
      <c r="E20" s="24"/>
      <c r="F20" s="24"/>
    </row>
    <row r="21" spans="1:8" x14ac:dyDescent="0.35">
      <c r="D21" s="2" t="s">
        <v>162</v>
      </c>
      <c r="E21" s="24">
        <v>20</v>
      </c>
      <c r="F21" s="24"/>
      <c r="G21" s="16" t="s">
        <v>2</v>
      </c>
    </row>
    <row r="22" spans="1:8" x14ac:dyDescent="0.35">
      <c r="E22" s="24"/>
      <c r="F22" s="24"/>
    </row>
    <row r="23" spans="1:8" x14ac:dyDescent="0.35">
      <c r="A23" s="14" t="s">
        <v>71</v>
      </c>
      <c r="B23" s="14"/>
      <c r="C23" s="41"/>
      <c r="D23" s="41"/>
      <c r="E23" s="69"/>
      <c r="F23" s="69"/>
      <c r="G23" s="69"/>
      <c r="H23" s="65"/>
    </row>
    <row r="24" spans="1:8" x14ac:dyDescent="0.35">
      <c r="E24" s="16" t="s">
        <v>112</v>
      </c>
      <c r="F24" s="16" t="s">
        <v>98</v>
      </c>
    </row>
    <row r="25" spans="1:8" x14ac:dyDescent="0.35">
      <c r="D25" s="2" t="s">
        <v>116</v>
      </c>
      <c r="E25" s="15">
        <v>65</v>
      </c>
      <c r="F25" s="15">
        <v>35</v>
      </c>
      <c r="G25" s="16" t="s">
        <v>238</v>
      </c>
    </row>
    <row r="26" spans="1:8" x14ac:dyDescent="0.35">
      <c r="D26" s="2" t="s">
        <v>72</v>
      </c>
      <c r="E26" s="103">
        <f>E25/SUM(E25:F25)</f>
        <v>0.65</v>
      </c>
      <c r="F26" s="73"/>
    </row>
    <row r="27" spans="1:8" x14ac:dyDescent="0.35">
      <c r="D27" s="2" t="s">
        <v>73</v>
      </c>
      <c r="E27" s="61">
        <f>E19*E26</f>
        <v>143000000</v>
      </c>
      <c r="F27" s="61"/>
      <c r="G27" s="16" t="s">
        <v>114</v>
      </c>
    </row>
    <row r="28" spans="1:8" x14ac:dyDescent="0.35">
      <c r="D28" s="2" t="s">
        <v>74</v>
      </c>
      <c r="E28" s="74">
        <f>E19-E27</f>
        <v>77000000</v>
      </c>
      <c r="F28" s="74"/>
      <c r="G28" s="16" t="s">
        <v>114</v>
      </c>
    </row>
    <row r="29" spans="1:8" x14ac:dyDescent="0.35">
      <c r="E29" s="67"/>
      <c r="F29" s="67"/>
    </row>
    <row r="30" spans="1:8" x14ac:dyDescent="0.35">
      <c r="A30" s="14" t="s">
        <v>15</v>
      </c>
      <c r="B30" s="14"/>
      <c r="C30" s="41"/>
      <c r="D30" s="41"/>
      <c r="E30" s="69"/>
      <c r="F30" s="69"/>
      <c r="G30" s="69"/>
      <c r="H30" s="65"/>
    </row>
    <row r="31" spans="1:8" x14ac:dyDescent="0.35">
      <c r="D31" s="2" t="str">
        <f>Summary!D15</f>
        <v>Breakeven price factor</v>
      </c>
      <c r="E31" s="17">
        <v>1</v>
      </c>
      <c r="F31" s="67"/>
      <c r="H31" s="66" t="s">
        <v>239</v>
      </c>
    </row>
    <row r="32" spans="1:8" x14ac:dyDescent="0.35">
      <c r="E32" s="67"/>
      <c r="F32" s="67"/>
    </row>
    <row r="33" spans="1:8" x14ac:dyDescent="0.35">
      <c r="B33" s="2" t="s">
        <v>124</v>
      </c>
      <c r="E33" s="67"/>
      <c r="F33" s="67"/>
    </row>
    <row r="34" spans="1:8" x14ac:dyDescent="0.35">
      <c r="D34" s="2" t="s">
        <v>40</v>
      </c>
      <c r="E34" s="67">
        <v>0.65</v>
      </c>
      <c r="F34" s="67"/>
    </row>
    <row r="35" spans="1:8" x14ac:dyDescent="0.35">
      <c r="D35" s="2" t="s">
        <v>3</v>
      </c>
      <c r="E35" s="24">
        <f>E31*75</f>
        <v>75</v>
      </c>
      <c r="F35" s="24"/>
      <c r="G35" s="16" t="s">
        <v>126</v>
      </c>
      <c r="H35" s="66" t="s">
        <v>127</v>
      </c>
    </row>
    <row r="36" spans="1:8" x14ac:dyDescent="0.35">
      <c r="D36" s="2" t="s">
        <v>128</v>
      </c>
      <c r="E36" s="24">
        <v>10</v>
      </c>
      <c r="F36" s="24"/>
      <c r="G36" s="16" t="s">
        <v>2</v>
      </c>
    </row>
    <row r="38" spans="1:8" x14ac:dyDescent="0.35">
      <c r="B38" s="2" t="s">
        <v>125</v>
      </c>
    </row>
    <row r="39" spans="1:8" x14ac:dyDescent="0.35">
      <c r="D39" s="2" t="s">
        <v>40</v>
      </c>
      <c r="E39" s="100">
        <f>1-E34</f>
        <v>0.35</v>
      </c>
    </row>
    <row r="40" spans="1:8" x14ac:dyDescent="0.35">
      <c r="D40" s="2" t="s">
        <v>130</v>
      </c>
      <c r="E40" s="24">
        <f>E31*55</f>
        <v>55</v>
      </c>
      <c r="G40" s="16" t="s">
        <v>126</v>
      </c>
    </row>
    <row r="41" spans="1:8" x14ac:dyDescent="0.35">
      <c r="D41" s="2" t="s">
        <v>131</v>
      </c>
      <c r="E41" s="73">
        <v>0.02</v>
      </c>
      <c r="G41" s="16" t="s">
        <v>4</v>
      </c>
    </row>
    <row r="42" spans="1:8" x14ac:dyDescent="0.35">
      <c r="D42" s="2" t="s">
        <v>129</v>
      </c>
      <c r="E42" s="73">
        <v>0.05</v>
      </c>
      <c r="H42" s="66" t="s">
        <v>132</v>
      </c>
    </row>
    <row r="44" spans="1:8" x14ac:dyDescent="0.35">
      <c r="A44" s="14" t="s">
        <v>136</v>
      </c>
      <c r="B44" s="14"/>
      <c r="C44" s="41"/>
      <c r="D44" s="41"/>
      <c r="E44" s="69"/>
      <c r="F44" s="69"/>
      <c r="G44" s="69"/>
      <c r="H44" s="65"/>
    </row>
    <row r="45" spans="1:8" x14ac:dyDescent="0.35">
      <c r="D45" s="2" t="s">
        <v>140</v>
      </c>
      <c r="E45" s="24">
        <v>30000</v>
      </c>
      <c r="F45" s="67"/>
      <c r="G45" s="16" t="s">
        <v>139</v>
      </c>
    </row>
    <row r="46" spans="1:8" x14ac:dyDescent="0.35">
      <c r="D46" s="2" t="s">
        <v>138</v>
      </c>
      <c r="E46" s="27">
        <f>E45*E12</f>
        <v>4800000</v>
      </c>
      <c r="G46" s="16" t="s">
        <v>141</v>
      </c>
    </row>
    <row r="47" spans="1:8" x14ac:dyDescent="0.35">
      <c r="D47" s="2" t="s">
        <v>137</v>
      </c>
      <c r="E47" s="67">
        <v>2.5000000000000001E-2</v>
      </c>
      <c r="F47" s="67"/>
      <c r="G47" s="16" t="s">
        <v>4</v>
      </c>
      <c r="H47" s="66" t="s">
        <v>122</v>
      </c>
    </row>
    <row r="49" spans="1:8" x14ac:dyDescent="0.35">
      <c r="C49" s="2" t="s">
        <v>30</v>
      </c>
    </row>
    <row r="50" spans="1:8" x14ac:dyDescent="0.35">
      <c r="D50" s="2" t="s">
        <v>49</v>
      </c>
      <c r="E50" s="63">
        <v>0</v>
      </c>
      <c r="F50" s="63"/>
      <c r="G50" s="16" t="s">
        <v>240</v>
      </c>
    </row>
    <row r="51" spans="1:8" x14ac:dyDescent="0.35">
      <c r="D51" s="2" t="s">
        <v>50</v>
      </c>
      <c r="E51" s="63">
        <v>0</v>
      </c>
      <c r="F51" s="63"/>
      <c r="G51" s="16" t="s">
        <v>240</v>
      </c>
    </row>
    <row r="53" spans="1:8" x14ac:dyDescent="0.35">
      <c r="A53" s="14" t="s">
        <v>134</v>
      </c>
      <c r="B53" s="14"/>
      <c r="C53" s="41"/>
      <c r="D53" s="41"/>
      <c r="E53" s="69"/>
      <c r="F53" s="69"/>
      <c r="G53" s="69"/>
      <c r="H53" s="65"/>
    </row>
    <row r="54" spans="1:8" x14ac:dyDescent="0.35">
      <c r="D54" s="2" t="s">
        <v>135</v>
      </c>
      <c r="E54" s="67">
        <v>0.3</v>
      </c>
      <c r="F54" s="73"/>
      <c r="H54" s="66" t="s">
        <v>133</v>
      </c>
    </row>
    <row r="56" spans="1:8" x14ac:dyDescent="0.35">
      <c r="A56" s="14" t="s">
        <v>8</v>
      </c>
      <c r="B56" s="14"/>
      <c r="C56" s="41"/>
      <c r="D56" s="41"/>
      <c r="E56" s="69"/>
      <c r="F56" s="69"/>
      <c r="G56" s="69"/>
      <c r="H56" s="65"/>
    </row>
    <row r="57" spans="1:8" x14ac:dyDescent="0.35">
      <c r="C57" s="2" t="s">
        <v>147</v>
      </c>
      <c r="E57" s="2"/>
      <c r="F57" s="76"/>
    </row>
    <row r="58" spans="1:8" x14ac:dyDescent="0.35">
      <c r="D58" s="2" t="s">
        <v>148</v>
      </c>
      <c r="E58" s="63">
        <v>5</v>
      </c>
      <c r="F58" s="76"/>
      <c r="G58" s="16" t="s">
        <v>2</v>
      </c>
    </row>
    <row r="59" spans="1:8" x14ac:dyDescent="0.35">
      <c r="D59" s="2" t="s">
        <v>145</v>
      </c>
      <c r="E59" s="101">
        <v>1.35</v>
      </c>
      <c r="F59" s="76"/>
    </row>
    <row r="60" spans="1:8" x14ac:dyDescent="0.35">
      <c r="D60" s="2" t="s">
        <v>144</v>
      </c>
      <c r="E60" s="24">
        <v>25</v>
      </c>
      <c r="F60" s="61"/>
      <c r="G60" s="16" t="s">
        <v>2</v>
      </c>
    </row>
    <row r="61" spans="1:8" x14ac:dyDescent="0.35">
      <c r="D61" s="2" t="s">
        <v>59</v>
      </c>
      <c r="E61" s="67">
        <v>6.5000000000000002E-2</v>
      </c>
      <c r="F61" s="67"/>
      <c r="G61" s="16" t="s">
        <v>4</v>
      </c>
      <c r="H61" s="66" t="s">
        <v>146</v>
      </c>
    </row>
    <row r="63" spans="1:8" x14ac:dyDescent="0.35">
      <c r="C63" s="2" t="s">
        <v>61</v>
      </c>
    </row>
    <row r="64" spans="1:8" x14ac:dyDescent="0.35">
      <c r="D64" s="2" t="s">
        <v>10</v>
      </c>
      <c r="E64" s="50">
        <v>6</v>
      </c>
      <c r="F64" s="50"/>
      <c r="G64" s="16" t="s">
        <v>11</v>
      </c>
    </row>
    <row r="65" spans="4:7" x14ac:dyDescent="0.35">
      <c r="D65" s="2" t="s">
        <v>149</v>
      </c>
      <c r="E65" s="67">
        <v>0.02</v>
      </c>
      <c r="F65" s="67"/>
      <c r="G65" s="16" t="s">
        <v>4</v>
      </c>
    </row>
  </sheetData>
  <conditionalFormatting sqref="D4:H9">
    <cfRule type="containsText" dxfId="3" priority="1" operator="containsText" text="FALSE">
      <formula>NOT(ISERROR(SEARCH("FALSE",D4)))</formula>
    </cfRule>
    <cfRule type="cellIs" dxfId="2" priority="2" operator="equal">
      <formula>TRUE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A8FD-83CF-4276-9891-3A67739154D9}">
  <sheetPr codeName="Sheet3"/>
  <dimension ref="A1:AU299"/>
  <sheetViews>
    <sheetView showGridLines="0" workbookViewId="0">
      <pane xSplit="10" ySplit="7" topLeftCell="K8" activePane="bottomRight" state="frozen"/>
      <selection activeCell="F3" sqref="F3"/>
      <selection pane="topRight" activeCell="F3" sqref="F3"/>
      <selection pane="bottomLeft" activeCell="F3" sqref="F3"/>
      <selection pane="bottomRight"/>
    </sheetView>
  </sheetViews>
  <sheetFormatPr defaultRowHeight="14.5" x14ac:dyDescent="0.35"/>
  <cols>
    <col min="1" max="1" width="1.6328125" style="2" customWidth="1"/>
    <col min="2" max="2" width="1.6328125" style="1" customWidth="1"/>
    <col min="3" max="3" width="1.6328125" style="5" customWidth="1"/>
    <col min="4" max="4" width="40.6328125" style="2" customWidth="1"/>
    <col min="5" max="10" width="15.6328125" style="16" customWidth="1"/>
    <col min="11" max="47" width="13.6328125" style="2" customWidth="1"/>
    <col min="48" max="16384" width="8.7265625" style="2"/>
  </cols>
  <sheetData>
    <row r="1" spans="1:47" ht="26" x14ac:dyDescent="0.6">
      <c r="A1" s="98" t="s">
        <v>113</v>
      </c>
    </row>
    <row r="2" spans="1:47" x14ac:dyDescent="0.35">
      <c r="D2" s="2" t="s">
        <v>33</v>
      </c>
      <c r="E2" s="50">
        <v>12</v>
      </c>
    </row>
    <row r="3" spans="1:47" x14ac:dyDescent="0.35">
      <c r="D3" s="2" t="s">
        <v>34</v>
      </c>
      <c r="E3" s="15"/>
      <c r="K3" s="6">
        <v>1</v>
      </c>
      <c r="L3" s="8">
        <f>K3+1</f>
        <v>2</v>
      </c>
      <c r="M3" s="8">
        <f t="shared" ref="M3:AU3" si="0">L3+1</f>
        <v>3</v>
      </c>
      <c r="N3" s="8">
        <f t="shared" si="0"/>
        <v>4</v>
      </c>
      <c r="O3" s="8">
        <f t="shared" si="0"/>
        <v>5</v>
      </c>
      <c r="P3" s="8">
        <f t="shared" si="0"/>
        <v>6</v>
      </c>
      <c r="Q3" s="8">
        <f t="shared" si="0"/>
        <v>7</v>
      </c>
      <c r="R3" s="8">
        <f t="shared" si="0"/>
        <v>8</v>
      </c>
      <c r="S3" s="8">
        <f t="shared" si="0"/>
        <v>9</v>
      </c>
      <c r="T3" s="8">
        <f t="shared" si="0"/>
        <v>10</v>
      </c>
      <c r="U3" s="8">
        <f t="shared" si="0"/>
        <v>11</v>
      </c>
      <c r="V3" s="8">
        <f t="shared" si="0"/>
        <v>12</v>
      </c>
      <c r="W3" s="8">
        <f t="shared" si="0"/>
        <v>13</v>
      </c>
      <c r="X3" s="8">
        <f t="shared" si="0"/>
        <v>14</v>
      </c>
      <c r="Y3" s="8">
        <f t="shared" si="0"/>
        <v>15</v>
      </c>
      <c r="Z3" s="8">
        <f t="shared" si="0"/>
        <v>16</v>
      </c>
      <c r="AA3" s="8">
        <f t="shared" si="0"/>
        <v>17</v>
      </c>
      <c r="AB3" s="8">
        <f t="shared" si="0"/>
        <v>18</v>
      </c>
      <c r="AC3" s="8">
        <f t="shared" si="0"/>
        <v>19</v>
      </c>
      <c r="AD3" s="8">
        <f t="shared" si="0"/>
        <v>20</v>
      </c>
      <c r="AE3" s="8">
        <f t="shared" si="0"/>
        <v>21</v>
      </c>
      <c r="AF3" s="8">
        <f t="shared" si="0"/>
        <v>22</v>
      </c>
      <c r="AG3" s="8">
        <f t="shared" si="0"/>
        <v>23</v>
      </c>
      <c r="AH3" s="8">
        <f t="shared" si="0"/>
        <v>24</v>
      </c>
      <c r="AI3" s="8">
        <f t="shared" si="0"/>
        <v>25</v>
      </c>
      <c r="AJ3" s="8">
        <f t="shared" si="0"/>
        <v>26</v>
      </c>
      <c r="AK3" s="8">
        <f t="shared" si="0"/>
        <v>27</v>
      </c>
      <c r="AL3" s="8">
        <f t="shared" si="0"/>
        <v>28</v>
      </c>
      <c r="AM3" s="8">
        <f t="shared" si="0"/>
        <v>29</v>
      </c>
      <c r="AN3" s="8">
        <f t="shared" si="0"/>
        <v>30</v>
      </c>
      <c r="AO3" s="8">
        <f t="shared" si="0"/>
        <v>31</v>
      </c>
      <c r="AP3" s="8">
        <f t="shared" si="0"/>
        <v>32</v>
      </c>
      <c r="AQ3" s="8">
        <f t="shared" si="0"/>
        <v>33</v>
      </c>
      <c r="AR3" s="8">
        <f t="shared" si="0"/>
        <v>34</v>
      </c>
      <c r="AS3" s="8">
        <f t="shared" si="0"/>
        <v>35</v>
      </c>
      <c r="AT3" s="8">
        <f t="shared" si="0"/>
        <v>36</v>
      </c>
      <c r="AU3" s="8">
        <f t="shared" si="0"/>
        <v>37</v>
      </c>
    </row>
    <row r="4" spans="1:47" x14ac:dyDescent="0.35">
      <c r="D4" s="2" t="s">
        <v>12</v>
      </c>
      <c r="J4" s="27"/>
      <c r="K4" s="34">
        <f>J5+1</f>
        <v>46388</v>
      </c>
      <c r="L4" s="34">
        <f>K5+1</f>
        <v>46753</v>
      </c>
      <c r="M4" s="34">
        <f>L5+1</f>
        <v>47119</v>
      </c>
      <c r="N4" s="34">
        <f t="shared" ref="N4:AU4" si="1">M5+1</f>
        <v>47484</v>
      </c>
      <c r="O4" s="34">
        <f t="shared" si="1"/>
        <v>47849</v>
      </c>
      <c r="P4" s="34">
        <f t="shared" si="1"/>
        <v>48214</v>
      </c>
      <c r="Q4" s="34">
        <f t="shared" si="1"/>
        <v>48580</v>
      </c>
      <c r="R4" s="34">
        <f t="shared" si="1"/>
        <v>48945</v>
      </c>
      <c r="S4" s="34">
        <f t="shared" si="1"/>
        <v>49310</v>
      </c>
      <c r="T4" s="34">
        <f t="shared" si="1"/>
        <v>49675</v>
      </c>
      <c r="U4" s="34">
        <f t="shared" si="1"/>
        <v>50041</v>
      </c>
      <c r="V4" s="34">
        <f t="shared" si="1"/>
        <v>50406</v>
      </c>
      <c r="W4" s="34">
        <f t="shared" si="1"/>
        <v>50771</v>
      </c>
      <c r="X4" s="34">
        <f t="shared" si="1"/>
        <v>51136</v>
      </c>
      <c r="Y4" s="34">
        <f t="shared" si="1"/>
        <v>51502</v>
      </c>
      <c r="Z4" s="34">
        <f t="shared" si="1"/>
        <v>51867</v>
      </c>
      <c r="AA4" s="34">
        <f t="shared" si="1"/>
        <v>52232</v>
      </c>
      <c r="AB4" s="34">
        <f t="shared" si="1"/>
        <v>52597</v>
      </c>
      <c r="AC4" s="34">
        <f t="shared" si="1"/>
        <v>52963</v>
      </c>
      <c r="AD4" s="34">
        <f t="shared" si="1"/>
        <v>53328</v>
      </c>
      <c r="AE4" s="34">
        <f t="shared" si="1"/>
        <v>53693</v>
      </c>
      <c r="AF4" s="34">
        <f t="shared" si="1"/>
        <v>54058</v>
      </c>
      <c r="AG4" s="34">
        <f t="shared" si="1"/>
        <v>54424</v>
      </c>
      <c r="AH4" s="34">
        <f t="shared" si="1"/>
        <v>54789</v>
      </c>
      <c r="AI4" s="34">
        <f t="shared" si="1"/>
        <v>55154</v>
      </c>
      <c r="AJ4" s="34">
        <f t="shared" si="1"/>
        <v>55519</v>
      </c>
      <c r="AK4" s="34">
        <f t="shared" si="1"/>
        <v>55885</v>
      </c>
      <c r="AL4" s="34">
        <f t="shared" si="1"/>
        <v>56250</v>
      </c>
      <c r="AM4" s="34">
        <f t="shared" si="1"/>
        <v>56615</v>
      </c>
      <c r="AN4" s="34">
        <f t="shared" si="1"/>
        <v>56980</v>
      </c>
      <c r="AO4" s="34">
        <f t="shared" si="1"/>
        <v>57346</v>
      </c>
      <c r="AP4" s="34">
        <f t="shared" si="1"/>
        <v>57711</v>
      </c>
      <c r="AQ4" s="34">
        <f t="shared" si="1"/>
        <v>58076</v>
      </c>
      <c r="AR4" s="34">
        <f t="shared" si="1"/>
        <v>58441</v>
      </c>
      <c r="AS4" s="34">
        <f t="shared" si="1"/>
        <v>58807</v>
      </c>
      <c r="AT4" s="34">
        <f t="shared" si="1"/>
        <v>59172</v>
      </c>
      <c r="AU4" s="34">
        <f t="shared" si="1"/>
        <v>59537</v>
      </c>
    </row>
    <row r="5" spans="1:47" x14ac:dyDescent="0.35">
      <c r="D5" s="2" t="s">
        <v>13</v>
      </c>
      <c r="J5" s="51">
        <f>Input!E4</f>
        <v>46387</v>
      </c>
      <c r="K5" s="7">
        <f>EOMONTH(K4-1, $E$2)</f>
        <v>46752</v>
      </c>
      <c r="L5" s="7">
        <f>EOMONTH(L4-1, $E$2)</f>
        <v>47118</v>
      </c>
      <c r="M5" s="7">
        <f t="shared" ref="M5:AU5" si="2">EOMONTH(M4-1, $E$2)</f>
        <v>47483</v>
      </c>
      <c r="N5" s="7">
        <f t="shared" si="2"/>
        <v>47848</v>
      </c>
      <c r="O5" s="7">
        <f t="shared" si="2"/>
        <v>48213</v>
      </c>
      <c r="P5" s="7">
        <f t="shared" si="2"/>
        <v>48579</v>
      </c>
      <c r="Q5" s="7">
        <f t="shared" si="2"/>
        <v>48944</v>
      </c>
      <c r="R5" s="7">
        <f t="shared" si="2"/>
        <v>49309</v>
      </c>
      <c r="S5" s="7">
        <f t="shared" si="2"/>
        <v>49674</v>
      </c>
      <c r="T5" s="7">
        <f t="shared" si="2"/>
        <v>50040</v>
      </c>
      <c r="U5" s="7">
        <f t="shared" si="2"/>
        <v>50405</v>
      </c>
      <c r="V5" s="7">
        <f t="shared" si="2"/>
        <v>50770</v>
      </c>
      <c r="W5" s="7">
        <f t="shared" si="2"/>
        <v>51135</v>
      </c>
      <c r="X5" s="7">
        <f t="shared" si="2"/>
        <v>51501</v>
      </c>
      <c r="Y5" s="7">
        <f t="shared" si="2"/>
        <v>51866</v>
      </c>
      <c r="Z5" s="7">
        <f t="shared" si="2"/>
        <v>52231</v>
      </c>
      <c r="AA5" s="7">
        <f t="shared" si="2"/>
        <v>52596</v>
      </c>
      <c r="AB5" s="7">
        <f t="shared" si="2"/>
        <v>52962</v>
      </c>
      <c r="AC5" s="7">
        <f t="shared" si="2"/>
        <v>53327</v>
      </c>
      <c r="AD5" s="7">
        <f t="shared" si="2"/>
        <v>53692</v>
      </c>
      <c r="AE5" s="7">
        <f t="shared" si="2"/>
        <v>54057</v>
      </c>
      <c r="AF5" s="7">
        <f t="shared" si="2"/>
        <v>54423</v>
      </c>
      <c r="AG5" s="7">
        <f t="shared" si="2"/>
        <v>54788</v>
      </c>
      <c r="AH5" s="7">
        <f t="shared" si="2"/>
        <v>55153</v>
      </c>
      <c r="AI5" s="7">
        <f t="shared" si="2"/>
        <v>55518</v>
      </c>
      <c r="AJ5" s="7">
        <f t="shared" si="2"/>
        <v>55884</v>
      </c>
      <c r="AK5" s="7">
        <f t="shared" si="2"/>
        <v>56249</v>
      </c>
      <c r="AL5" s="7">
        <f t="shared" si="2"/>
        <v>56614</v>
      </c>
      <c r="AM5" s="7">
        <f t="shared" si="2"/>
        <v>56979</v>
      </c>
      <c r="AN5" s="7">
        <f t="shared" si="2"/>
        <v>57345</v>
      </c>
      <c r="AO5" s="7">
        <f t="shared" si="2"/>
        <v>57710</v>
      </c>
      <c r="AP5" s="7">
        <f t="shared" si="2"/>
        <v>58075</v>
      </c>
      <c r="AQ5" s="7">
        <f t="shared" si="2"/>
        <v>58440</v>
      </c>
      <c r="AR5" s="7">
        <f t="shared" si="2"/>
        <v>58806</v>
      </c>
      <c r="AS5" s="7">
        <f t="shared" si="2"/>
        <v>59171</v>
      </c>
      <c r="AT5" s="7">
        <f t="shared" si="2"/>
        <v>59536</v>
      </c>
      <c r="AU5" s="7">
        <f t="shared" si="2"/>
        <v>59901</v>
      </c>
    </row>
    <row r="6" spans="1:47" x14ac:dyDescent="0.35">
      <c r="D6" s="2" t="s">
        <v>14</v>
      </c>
      <c r="K6" s="8">
        <f t="shared" ref="K6:AU6" si="3">YEAR(K4)</f>
        <v>2027</v>
      </c>
      <c r="L6" s="8">
        <f t="shared" si="3"/>
        <v>2028</v>
      </c>
      <c r="M6" s="8">
        <f t="shared" si="3"/>
        <v>2029</v>
      </c>
      <c r="N6" s="8">
        <f t="shared" si="3"/>
        <v>2030</v>
      </c>
      <c r="O6" s="8">
        <f t="shared" si="3"/>
        <v>2031</v>
      </c>
      <c r="P6" s="8">
        <f t="shared" si="3"/>
        <v>2032</v>
      </c>
      <c r="Q6" s="8">
        <f t="shared" si="3"/>
        <v>2033</v>
      </c>
      <c r="R6" s="8">
        <f t="shared" si="3"/>
        <v>2034</v>
      </c>
      <c r="S6" s="8">
        <f t="shared" si="3"/>
        <v>2035</v>
      </c>
      <c r="T6" s="8">
        <f t="shared" si="3"/>
        <v>2036</v>
      </c>
      <c r="U6" s="8">
        <f t="shared" si="3"/>
        <v>2037</v>
      </c>
      <c r="V6" s="8">
        <f t="shared" si="3"/>
        <v>2038</v>
      </c>
      <c r="W6" s="8">
        <f t="shared" si="3"/>
        <v>2039</v>
      </c>
      <c r="X6" s="8">
        <f t="shared" si="3"/>
        <v>2040</v>
      </c>
      <c r="Y6" s="8">
        <f t="shared" si="3"/>
        <v>2041</v>
      </c>
      <c r="Z6" s="8">
        <f t="shared" si="3"/>
        <v>2042</v>
      </c>
      <c r="AA6" s="8">
        <f t="shared" si="3"/>
        <v>2043</v>
      </c>
      <c r="AB6" s="8">
        <f t="shared" si="3"/>
        <v>2044</v>
      </c>
      <c r="AC6" s="8">
        <f t="shared" si="3"/>
        <v>2045</v>
      </c>
      <c r="AD6" s="8">
        <f t="shared" si="3"/>
        <v>2046</v>
      </c>
      <c r="AE6" s="8">
        <f t="shared" si="3"/>
        <v>2047</v>
      </c>
      <c r="AF6" s="8">
        <f t="shared" si="3"/>
        <v>2048</v>
      </c>
      <c r="AG6" s="8">
        <f t="shared" si="3"/>
        <v>2049</v>
      </c>
      <c r="AH6" s="8">
        <f t="shared" si="3"/>
        <v>2050</v>
      </c>
      <c r="AI6" s="8">
        <f t="shared" si="3"/>
        <v>2051</v>
      </c>
      <c r="AJ6" s="8">
        <f t="shared" si="3"/>
        <v>2052</v>
      </c>
      <c r="AK6" s="8">
        <f t="shared" si="3"/>
        <v>2053</v>
      </c>
      <c r="AL6" s="8">
        <f t="shared" si="3"/>
        <v>2054</v>
      </c>
      <c r="AM6" s="8">
        <f t="shared" si="3"/>
        <v>2055</v>
      </c>
      <c r="AN6" s="8">
        <f t="shared" si="3"/>
        <v>2056</v>
      </c>
      <c r="AO6" s="8">
        <f t="shared" si="3"/>
        <v>2057</v>
      </c>
      <c r="AP6" s="8">
        <f t="shared" si="3"/>
        <v>2058</v>
      </c>
      <c r="AQ6" s="8">
        <f t="shared" si="3"/>
        <v>2059</v>
      </c>
      <c r="AR6" s="8">
        <f t="shared" si="3"/>
        <v>2060</v>
      </c>
      <c r="AS6" s="8">
        <f t="shared" si="3"/>
        <v>2061</v>
      </c>
      <c r="AT6" s="8">
        <f t="shared" si="3"/>
        <v>2062</v>
      </c>
      <c r="AU6" s="8">
        <f t="shared" si="3"/>
        <v>2063</v>
      </c>
    </row>
    <row r="7" spans="1:47" x14ac:dyDescent="0.35">
      <c r="E7" s="16" t="s">
        <v>0</v>
      </c>
      <c r="F7" s="16" t="s">
        <v>0</v>
      </c>
      <c r="G7" s="16" t="s">
        <v>16</v>
      </c>
      <c r="H7" s="16" t="s">
        <v>16</v>
      </c>
      <c r="I7" s="16" t="s">
        <v>1</v>
      </c>
      <c r="J7" s="16" t="s">
        <v>17</v>
      </c>
    </row>
    <row r="8" spans="1:47" x14ac:dyDescent="0.35">
      <c r="A8" s="32" t="s">
        <v>18</v>
      </c>
      <c r="B8" s="32"/>
      <c r="C8" s="88"/>
      <c r="D8" s="32"/>
      <c r="E8" s="36"/>
      <c r="F8" s="36"/>
      <c r="G8" s="36"/>
      <c r="H8" s="36"/>
      <c r="I8" s="36"/>
      <c r="J8" s="36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</row>
    <row r="9" spans="1:47" x14ac:dyDescent="0.35">
      <c r="A9" s="1"/>
      <c r="D9" s="2" t="s">
        <v>154</v>
      </c>
      <c r="G9" s="51">
        <f>Input!E6</f>
        <v>46753</v>
      </c>
      <c r="K9" s="38">
        <f>($G9=K$4)*1</f>
        <v>0</v>
      </c>
      <c r="L9" s="38">
        <f t="shared" ref="L9:AU9" si="4">($G9=L$4)*1</f>
        <v>1</v>
      </c>
      <c r="M9" s="38">
        <f t="shared" si="4"/>
        <v>0</v>
      </c>
      <c r="N9" s="38">
        <f t="shared" si="4"/>
        <v>0</v>
      </c>
      <c r="O9" s="38">
        <f t="shared" si="4"/>
        <v>0</v>
      </c>
      <c r="P9" s="38">
        <f t="shared" si="4"/>
        <v>0</v>
      </c>
      <c r="Q9" s="38">
        <f t="shared" si="4"/>
        <v>0</v>
      </c>
      <c r="R9" s="38">
        <f t="shared" si="4"/>
        <v>0</v>
      </c>
      <c r="S9" s="38">
        <f t="shared" si="4"/>
        <v>0</v>
      </c>
      <c r="T9" s="38">
        <f t="shared" si="4"/>
        <v>0</v>
      </c>
      <c r="U9" s="38">
        <f t="shared" si="4"/>
        <v>0</v>
      </c>
      <c r="V9" s="38">
        <f t="shared" si="4"/>
        <v>0</v>
      </c>
      <c r="W9" s="38">
        <f t="shared" si="4"/>
        <v>0</v>
      </c>
      <c r="X9" s="38">
        <f t="shared" si="4"/>
        <v>0</v>
      </c>
      <c r="Y9" s="38">
        <f t="shared" si="4"/>
        <v>0</v>
      </c>
      <c r="Z9" s="38">
        <f t="shared" si="4"/>
        <v>0</v>
      </c>
      <c r="AA9" s="38">
        <f t="shared" si="4"/>
        <v>0</v>
      </c>
      <c r="AB9" s="38">
        <f t="shared" si="4"/>
        <v>0</v>
      </c>
      <c r="AC9" s="38">
        <f t="shared" si="4"/>
        <v>0</v>
      </c>
      <c r="AD9" s="38">
        <f t="shared" si="4"/>
        <v>0</v>
      </c>
      <c r="AE9" s="38">
        <f t="shared" si="4"/>
        <v>0</v>
      </c>
      <c r="AF9" s="38">
        <f t="shared" si="4"/>
        <v>0</v>
      </c>
      <c r="AG9" s="38">
        <f t="shared" si="4"/>
        <v>0</v>
      </c>
      <c r="AH9" s="38">
        <f t="shared" si="4"/>
        <v>0</v>
      </c>
      <c r="AI9" s="38">
        <f t="shared" si="4"/>
        <v>0</v>
      </c>
      <c r="AJ9" s="38">
        <f t="shared" si="4"/>
        <v>0</v>
      </c>
      <c r="AK9" s="38">
        <f t="shared" si="4"/>
        <v>0</v>
      </c>
      <c r="AL9" s="38">
        <f t="shared" si="4"/>
        <v>0</v>
      </c>
      <c r="AM9" s="38">
        <f t="shared" si="4"/>
        <v>0</v>
      </c>
      <c r="AN9" s="38">
        <f t="shared" si="4"/>
        <v>0</v>
      </c>
      <c r="AO9" s="38">
        <f t="shared" si="4"/>
        <v>0</v>
      </c>
      <c r="AP9" s="38">
        <f t="shared" si="4"/>
        <v>0</v>
      </c>
      <c r="AQ9" s="38">
        <f t="shared" si="4"/>
        <v>0</v>
      </c>
      <c r="AR9" s="38">
        <f t="shared" si="4"/>
        <v>0</v>
      </c>
      <c r="AS9" s="38">
        <f t="shared" si="4"/>
        <v>0</v>
      </c>
      <c r="AT9" s="38">
        <f t="shared" si="4"/>
        <v>0</v>
      </c>
      <c r="AU9" s="38">
        <f t="shared" si="4"/>
        <v>0</v>
      </c>
    </row>
    <row r="10" spans="1:47" x14ac:dyDescent="0.35">
      <c r="A10" s="1"/>
      <c r="D10" s="2" t="s">
        <v>38</v>
      </c>
      <c r="E10" s="44">
        <f>Input!E7</f>
        <v>35</v>
      </c>
      <c r="G10" s="28"/>
      <c r="I10" s="16" t="s">
        <v>2</v>
      </c>
    </row>
    <row r="11" spans="1:47" x14ac:dyDescent="0.35">
      <c r="A11" s="1"/>
      <c r="D11" s="2" t="s">
        <v>36</v>
      </c>
      <c r="E11" s="44">
        <f>Input!E36</f>
        <v>10</v>
      </c>
      <c r="G11" s="28"/>
      <c r="I11" s="16" t="s">
        <v>2</v>
      </c>
    </row>
    <row r="12" spans="1:47" x14ac:dyDescent="0.35">
      <c r="A12" s="1"/>
      <c r="E12" s="29"/>
      <c r="G12" s="28"/>
    </row>
    <row r="13" spans="1:47" x14ac:dyDescent="0.35">
      <c r="A13" s="1"/>
      <c r="D13" s="2" t="s">
        <v>44</v>
      </c>
      <c r="E13" s="29"/>
      <c r="G13" s="51">
        <f>Input!E4+1</f>
        <v>46388</v>
      </c>
      <c r="H13" s="52">
        <f>G9-1</f>
        <v>46752</v>
      </c>
      <c r="K13" s="38">
        <f>AND(K$4&gt;=$G13, K$5&lt;=$H13) * 1</f>
        <v>1</v>
      </c>
      <c r="L13" s="38">
        <f t="shared" ref="L13:AU15" si="5">AND(L$4&gt;=$G13, L$5&lt;=$H13) * 1</f>
        <v>0</v>
      </c>
      <c r="M13" s="38">
        <f t="shared" si="5"/>
        <v>0</v>
      </c>
      <c r="N13" s="38">
        <f t="shared" si="5"/>
        <v>0</v>
      </c>
      <c r="O13" s="38">
        <f t="shared" si="5"/>
        <v>0</v>
      </c>
      <c r="P13" s="38">
        <f t="shared" si="5"/>
        <v>0</v>
      </c>
      <c r="Q13" s="38">
        <f t="shared" si="5"/>
        <v>0</v>
      </c>
      <c r="R13" s="38">
        <f t="shared" si="5"/>
        <v>0</v>
      </c>
      <c r="S13" s="38">
        <f t="shared" si="5"/>
        <v>0</v>
      </c>
      <c r="T13" s="38">
        <f t="shared" si="5"/>
        <v>0</v>
      </c>
      <c r="U13" s="38">
        <f t="shared" si="5"/>
        <v>0</v>
      </c>
      <c r="V13" s="38">
        <f t="shared" si="5"/>
        <v>0</v>
      </c>
      <c r="W13" s="38">
        <f t="shared" si="5"/>
        <v>0</v>
      </c>
      <c r="X13" s="38">
        <f t="shared" si="5"/>
        <v>0</v>
      </c>
      <c r="Y13" s="38">
        <f t="shared" si="5"/>
        <v>0</v>
      </c>
      <c r="Z13" s="38">
        <f t="shared" si="5"/>
        <v>0</v>
      </c>
      <c r="AA13" s="38">
        <f t="shared" si="5"/>
        <v>0</v>
      </c>
      <c r="AB13" s="38">
        <f t="shared" si="5"/>
        <v>0</v>
      </c>
      <c r="AC13" s="38">
        <f t="shared" si="5"/>
        <v>0</v>
      </c>
      <c r="AD13" s="38">
        <f t="shared" si="5"/>
        <v>0</v>
      </c>
      <c r="AE13" s="38">
        <f t="shared" si="5"/>
        <v>0</v>
      </c>
      <c r="AF13" s="38">
        <f t="shared" si="5"/>
        <v>0</v>
      </c>
      <c r="AG13" s="38">
        <f t="shared" si="5"/>
        <v>0</v>
      </c>
      <c r="AH13" s="38">
        <f t="shared" si="5"/>
        <v>0</v>
      </c>
      <c r="AI13" s="38">
        <f t="shared" si="5"/>
        <v>0</v>
      </c>
      <c r="AJ13" s="38">
        <f t="shared" si="5"/>
        <v>0</v>
      </c>
      <c r="AK13" s="38">
        <f t="shared" si="5"/>
        <v>0</v>
      </c>
      <c r="AL13" s="38">
        <f t="shared" si="5"/>
        <v>0</v>
      </c>
      <c r="AM13" s="38">
        <f t="shared" si="5"/>
        <v>0</v>
      </c>
      <c r="AN13" s="38">
        <f t="shared" si="5"/>
        <v>0</v>
      </c>
      <c r="AO13" s="38">
        <f t="shared" si="5"/>
        <v>0</v>
      </c>
      <c r="AP13" s="38">
        <f t="shared" si="5"/>
        <v>0</v>
      </c>
      <c r="AQ13" s="38">
        <f t="shared" si="5"/>
        <v>0</v>
      </c>
      <c r="AR13" s="38">
        <f t="shared" si="5"/>
        <v>0</v>
      </c>
      <c r="AS13" s="38">
        <f t="shared" si="5"/>
        <v>0</v>
      </c>
      <c r="AT13" s="38">
        <f t="shared" si="5"/>
        <v>0</v>
      </c>
      <c r="AU13" s="38">
        <f t="shared" si="5"/>
        <v>0</v>
      </c>
    </row>
    <row r="14" spans="1:47" x14ac:dyDescent="0.35">
      <c r="A14" s="1"/>
      <c r="D14" s="2" t="s">
        <v>35</v>
      </c>
      <c r="G14" s="30">
        <f>G9</f>
        <v>46753</v>
      </c>
      <c r="H14" s="30">
        <f>EOMONTH(G14 - 1, E10 * 12)</f>
        <v>59536</v>
      </c>
      <c r="K14" s="38">
        <f t="shared" ref="K14:K15" si="6">AND(K$4&gt;=$G14, K$5&lt;=$H14) * 1</f>
        <v>0</v>
      </c>
      <c r="L14" s="38">
        <f t="shared" si="5"/>
        <v>1</v>
      </c>
      <c r="M14" s="38">
        <f t="shared" si="5"/>
        <v>1</v>
      </c>
      <c r="N14" s="38">
        <f t="shared" si="5"/>
        <v>1</v>
      </c>
      <c r="O14" s="38">
        <f t="shared" si="5"/>
        <v>1</v>
      </c>
      <c r="P14" s="38">
        <f t="shared" si="5"/>
        <v>1</v>
      </c>
      <c r="Q14" s="38">
        <f t="shared" si="5"/>
        <v>1</v>
      </c>
      <c r="R14" s="38">
        <f t="shared" si="5"/>
        <v>1</v>
      </c>
      <c r="S14" s="38">
        <f t="shared" si="5"/>
        <v>1</v>
      </c>
      <c r="T14" s="38">
        <f t="shared" si="5"/>
        <v>1</v>
      </c>
      <c r="U14" s="38">
        <f t="shared" si="5"/>
        <v>1</v>
      </c>
      <c r="V14" s="38">
        <f t="shared" si="5"/>
        <v>1</v>
      </c>
      <c r="W14" s="38">
        <f t="shared" si="5"/>
        <v>1</v>
      </c>
      <c r="X14" s="38">
        <f t="shared" si="5"/>
        <v>1</v>
      </c>
      <c r="Y14" s="38">
        <f t="shared" si="5"/>
        <v>1</v>
      </c>
      <c r="Z14" s="38">
        <f t="shared" si="5"/>
        <v>1</v>
      </c>
      <c r="AA14" s="38">
        <f t="shared" si="5"/>
        <v>1</v>
      </c>
      <c r="AB14" s="38">
        <f t="shared" si="5"/>
        <v>1</v>
      </c>
      <c r="AC14" s="38">
        <f t="shared" si="5"/>
        <v>1</v>
      </c>
      <c r="AD14" s="38">
        <f t="shared" si="5"/>
        <v>1</v>
      </c>
      <c r="AE14" s="38">
        <f t="shared" si="5"/>
        <v>1</v>
      </c>
      <c r="AF14" s="38">
        <f t="shared" si="5"/>
        <v>1</v>
      </c>
      <c r="AG14" s="38">
        <f t="shared" si="5"/>
        <v>1</v>
      </c>
      <c r="AH14" s="38">
        <f t="shared" si="5"/>
        <v>1</v>
      </c>
      <c r="AI14" s="38">
        <f t="shared" si="5"/>
        <v>1</v>
      </c>
      <c r="AJ14" s="38">
        <f t="shared" si="5"/>
        <v>1</v>
      </c>
      <c r="AK14" s="38">
        <f t="shared" si="5"/>
        <v>1</v>
      </c>
      <c r="AL14" s="38">
        <f t="shared" si="5"/>
        <v>1</v>
      </c>
      <c r="AM14" s="38">
        <f t="shared" si="5"/>
        <v>1</v>
      </c>
      <c r="AN14" s="38">
        <f t="shared" si="5"/>
        <v>1</v>
      </c>
      <c r="AO14" s="38">
        <f t="shared" si="5"/>
        <v>1</v>
      </c>
      <c r="AP14" s="38">
        <f t="shared" si="5"/>
        <v>1</v>
      </c>
      <c r="AQ14" s="38">
        <f t="shared" si="5"/>
        <v>1</v>
      </c>
      <c r="AR14" s="38">
        <f t="shared" si="5"/>
        <v>1</v>
      </c>
      <c r="AS14" s="38">
        <f t="shared" si="5"/>
        <v>1</v>
      </c>
      <c r="AT14" s="38">
        <f t="shared" si="5"/>
        <v>1</v>
      </c>
      <c r="AU14" s="38">
        <f t="shared" si="5"/>
        <v>0</v>
      </c>
    </row>
    <row r="15" spans="1:47" x14ac:dyDescent="0.35">
      <c r="A15" s="1"/>
      <c r="D15" s="2" t="s">
        <v>19</v>
      </c>
      <c r="G15" s="30">
        <f>G9</f>
        <v>46753</v>
      </c>
      <c r="H15" s="30">
        <f>EOMONTH(G15 - 1, E11 * 12)</f>
        <v>50405</v>
      </c>
      <c r="K15" s="38">
        <f t="shared" si="6"/>
        <v>0</v>
      </c>
      <c r="L15" s="38">
        <f t="shared" si="5"/>
        <v>1</v>
      </c>
      <c r="M15" s="38">
        <f t="shared" si="5"/>
        <v>1</v>
      </c>
      <c r="N15" s="38">
        <f t="shared" si="5"/>
        <v>1</v>
      </c>
      <c r="O15" s="38">
        <f t="shared" si="5"/>
        <v>1</v>
      </c>
      <c r="P15" s="38">
        <f t="shared" si="5"/>
        <v>1</v>
      </c>
      <c r="Q15" s="38">
        <f t="shared" si="5"/>
        <v>1</v>
      </c>
      <c r="R15" s="38">
        <f t="shared" si="5"/>
        <v>1</v>
      </c>
      <c r="S15" s="38">
        <f t="shared" si="5"/>
        <v>1</v>
      </c>
      <c r="T15" s="38">
        <f t="shared" si="5"/>
        <v>1</v>
      </c>
      <c r="U15" s="38">
        <f t="shared" si="5"/>
        <v>1</v>
      </c>
      <c r="V15" s="38">
        <f t="shared" si="5"/>
        <v>0</v>
      </c>
      <c r="W15" s="38">
        <f t="shared" si="5"/>
        <v>0</v>
      </c>
      <c r="X15" s="38">
        <f t="shared" si="5"/>
        <v>0</v>
      </c>
      <c r="Y15" s="38">
        <f t="shared" si="5"/>
        <v>0</v>
      </c>
      <c r="Z15" s="38">
        <f t="shared" si="5"/>
        <v>0</v>
      </c>
      <c r="AA15" s="38">
        <f t="shared" si="5"/>
        <v>0</v>
      </c>
      <c r="AB15" s="38">
        <f t="shared" si="5"/>
        <v>0</v>
      </c>
      <c r="AC15" s="38">
        <f t="shared" si="5"/>
        <v>0</v>
      </c>
      <c r="AD15" s="38">
        <f t="shared" si="5"/>
        <v>0</v>
      </c>
      <c r="AE15" s="38">
        <f t="shared" si="5"/>
        <v>0</v>
      </c>
      <c r="AF15" s="38">
        <f t="shared" si="5"/>
        <v>0</v>
      </c>
      <c r="AG15" s="38">
        <f t="shared" si="5"/>
        <v>0</v>
      </c>
      <c r="AH15" s="38">
        <f t="shared" si="5"/>
        <v>0</v>
      </c>
      <c r="AI15" s="38">
        <f t="shared" si="5"/>
        <v>0</v>
      </c>
      <c r="AJ15" s="38">
        <f t="shared" si="5"/>
        <v>0</v>
      </c>
      <c r="AK15" s="38">
        <f t="shared" si="5"/>
        <v>0</v>
      </c>
      <c r="AL15" s="38">
        <f t="shared" si="5"/>
        <v>0</v>
      </c>
      <c r="AM15" s="38">
        <f t="shared" si="5"/>
        <v>0</v>
      </c>
      <c r="AN15" s="38">
        <f t="shared" si="5"/>
        <v>0</v>
      </c>
      <c r="AO15" s="38">
        <f t="shared" si="5"/>
        <v>0</v>
      </c>
      <c r="AP15" s="38">
        <f t="shared" si="5"/>
        <v>0</v>
      </c>
      <c r="AQ15" s="38">
        <f t="shared" si="5"/>
        <v>0</v>
      </c>
      <c r="AR15" s="38">
        <f t="shared" si="5"/>
        <v>0</v>
      </c>
      <c r="AS15" s="38">
        <f t="shared" si="5"/>
        <v>0</v>
      </c>
      <c r="AT15" s="38">
        <f t="shared" si="5"/>
        <v>0</v>
      </c>
      <c r="AU15" s="38">
        <f t="shared" si="5"/>
        <v>0</v>
      </c>
    </row>
    <row r="16" spans="1:47" x14ac:dyDescent="0.35">
      <c r="A16" s="1"/>
    </row>
    <row r="17" spans="1:47" x14ac:dyDescent="0.35">
      <c r="A17" s="1"/>
      <c r="D17" s="2" t="s">
        <v>167</v>
      </c>
      <c r="K17" s="38">
        <f>J17+K14</f>
        <v>0</v>
      </c>
      <c r="L17" s="38">
        <f t="shared" ref="L17:AU17" si="7">K17+L14</f>
        <v>1</v>
      </c>
      <c r="M17" s="38">
        <f t="shared" si="7"/>
        <v>2</v>
      </c>
      <c r="N17" s="38">
        <f t="shared" si="7"/>
        <v>3</v>
      </c>
      <c r="O17" s="38">
        <f t="shared" si="7"/>
        <v>4</v>
      </c>
      <c r="P17" s="38">
        <f t="shared" si="7"/>
        <v>5</v>
      </c>
      <c r="Q17" s="38">
        <f t="shared" si="7"/>
        <v>6</v>
      </c>
      <c r="R17" s="38">
        <f t="shared" si="7"/>
        <v>7</v>
      </c>
      <c r="S17" s="38">
        <f t="shared" si="7"/>
        <v>8</v>
      </c>
      <c r="T17" s="38">
        <f t="shared" si="7"/>
        <v>9</v>
      </c>
      <c r="U17" s="38">
        <f t="shared" si="7"/>
        <v>10</v>
      </c>
      <c r="V17" s="38">
        <f t="shared" si="7"/>
        <v>11</v>
      </c>
      <c r="W17" s="38">
        <f t="shared" si="7"/>
        <v>12</v>
      </c>
      <c r="X17" s="38">
        <f t="shared" si="7"/>
        <v>13</v>
      </c>
      <c r="Y17" s="38">
        <f t="shared" si="7"/>
        <v>14</v>
      </c>
      <c r="Z17" s="38">
        <f t="shared" si="7"/>
        <v>15</v>
      </c>
      <c r="AA17" s="38">
        <f t="shared" si="7"/>
        <v>16</v>
      </c>
      <c r="AB17" s="38">
        <f t="shared" si="7"/>
        <v>17</v>
      </c>
      <c r="AC17" s="38">
        <f t="shared" si="7"/>
        <v>18</v>
      </c>
      <c r="AD17" s="38">
        <f t="shared" si="7"/>
        <v>19</v>
      </c>
      <c r="AE17" s="38">
        <f t="shared" si="7"/>
        <v>20</v>
      </c>
      <c r="AF17" s="38">
        <f t="shared" si="7"/>
        <v>21</v>
      </c>
      <c r="AG17" s="38">
        <f t="shared" si="7"/>
        <v>22</v>
      </c>
      <c r="AH17" s="38">
        <f t="shared" si="7"/>
        <v>23</v>
      </c>
      <c r="AI17" s="38">
        <f t="shared" si="7"/>
        <v>24</v>
      </c>
      <c r="AJ17" s="38">
        <f t="shared" si="7"/>
        <v>25</v>
      </c>
      <c r="AK17" s="38">
        <f t="shared" si="7"/>
        <v>26</v>
      </c>
      <c r="AL17" s="38">
        <f t="shared" si="7"/>
        <v>27</v>
      </c>
      <c r="AM17" s="38">
        <f t="shared" si="7"/>
        <v>28</v>
      </c>
      <c r="AN17" s="38">
        <f t="shared" si="7"/>
        <v>29</v>
      </c>
      <c r="AO17" s="38">
        <f t="shared" si="7"/>
        <v>30</v>
      </c>
      <c r="AP17" s="38">
        <f t="shared" si="7"/>
        <v>31</v>
      </c>
      <c r="AQ17" s="38">
        <f t="shared" si="7"/>
        <v>32</v>
      </c>
      <c r="AR17" s="38">
        <f t="shared" si="7"/>
        <v>33</v>
      </c>
      <c r="AS17" s="38">
        <f t="shared" si="7"/>
        <v>34</v>
      </c>
      <c r="AT17" s="38">
        <f t="shared" si="7"/>
        <v>35</v>
      </c>
      <c r="AU17" s="38">
        <f t="shared" si="7"/>
        <v>35</v>
      </c>
    </row>
    <row r="18" spans="1:47" x14ac:dyDescent="0.35">
      <c r="A18" s="1"/>
    </row>
    <row r="19" spans="1:47" x14ac:dyDescent="0.35">
      <c r="A19" s="32" t="s">
        <v>29</v>
      </c>
      <c r="B19" s="32"/>
      <c r="C19" s="88"/>
      <c r="D19" s="32"/>
      <c r="E19" s="36"/>
      <c r="F19" s="36"/>
      <c r="G19" s="36"/>
      <c r="H19" s="36"/>
      <c r="I19" s="36"/>
      <c r="J19" s="36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spans="1:47" x14ac:dyDescent="0.35">
      <c r="D20" s="8" t="str">
        <f>D$9</f>
        <v>COD flag</v>
      </c>
      <c r="K20" s="38">
        <f t="shared" ref="K20:AU20" si="8">K$9</f>
        <v>0</v>
      </c>
      <c r="L20" s="38">
        <f t="shared" si="8"/>
        <v>1</v>
      </c>
      <c r="M20" s="38">
        <f t="shared" si="8"/>
        <v>0</v>
      </c>
      <c r="N20" s="38">
        <f t="shared" si="8"/>
        <v>0</v>
      </c>
      <c r="O20" s="38">
        <f t="shared" si="8"/>
        <v>0</v>
      </c>
      <c r="P20" s="38">
        <f t="shared" si="8"/>
        <v>0</v>
      </c>
      <c r="Q20" s="38">
        <f t="shared" si="8"/>
        <v>0</v>
      </c>
      <c r="R20" s="38">
        <f t="shared" si="8"/>
        <v>0</v>
      </c>
      <c r="S20" s="38">
        <f t="shared" si="8"/>
        <v>0</v>
      </c>
      <c r="T20" s="38">
        <f t="shared" si="8"/>
        <v>0</v>
      </c>
      <c r="U20" s="38">
        <f t="shared" si="8"/>
        <v>0</v>
      </c>
      <c r="V20" s="38">
        <f t="shared" si="8"/>
        <v>0</v>
      </c>
      <c r="W20" s="38">
        <f t="shared" si="8"/>
        <v>0</v>
      </c>
      <c r="X20" s="38">
        <f t="shared" si="8"/>
        <v>0</v>
      </c>
      <c r="Y20" s="38">
        <f t="shared" si="8"/>
        <v>0</v>
      </c>
      <c r="Z20" s="38">
        <f t="shared" si="8"/>
        <v>0</v>
      </c>
      <c r="AA20" s="38">
        <f t="shared" si="8"/>
        <v>0</v>
      </c>
      <c r="AB20" s="38">
        <f t="shared" si="8"/>
        <v>0</v>
      </c>
      <c r="AC20" s="38">
        <f t="shared" si="8"/>
        <v>0</v>
      </c>
      <c r="AD20" s="38">
        <f t="shared" si="8"/>
        <v>0</v>
      </c>
      <c r="AE20" s="38">
        <f t="shared" si="8"/>
        <v>0</v>
      </c>
      <c r="AF20" s="38">
        <f t="shared" si="8"/>
        <v>0</v>
      </c>
      <c r="AG20" s="38">
        <f t="shared" si="8"/>
        <v>0</v>
      </c>
      <c r="AH20" s="38">
        <f t="shared" si="8"/>
        <v>0</v>
      </c>
      <c r="AI20" s="38">
        <f t="shared" si="8"/>
        <v>0</v>
      </c>
      <c r="AJ20" s="38">
        <f t="shared" si="8"/>
        <v>0</v>
      </c>
      <c r="AK20" s="38">
        <f t="shared" si="8"/>
        <v>0</v>
      </c>
      <c r="AL20" s="38">
        <f t="shared" si="8"/>
        <v>0</v>
      </c>
      <c r="AM20" s="38">
        <f t="shared" si="8"/>
        <v>0</v>
      </c>
      <c r="AN20" s="38">
        <f t="shared" si="8"/>
        <v>0</v>
      </c>
      <c r="AO20" s="38">
        <f t="shared" si="8"/>
        <v>0</v>
      </c>
      <c r="AP20" s="38">
        <f t="shared" si="8"/>
        <v>0</v>
      </c>
      <c r="AQ20" s="38">
        <f t="shared" si="8"/>
        <v>0</v>
      </c>
      <c r="AR20" s="38">
        <f t="shared" si="8"/>
        <v>0</v>
      </c>
      <c r="AS20" s="38">
        <f t="shared" si="8"/>
        <v>0</v>
      </c>
      <c r="AT20" s="38">
        <f t="shared" si="8"/>
        <v>0</v>
      </c>
      <c r="AU20" s="38">
        <f t="shared" si="8"/>
        <v>0</v>
      </c>
    </row>
    <row r="21" spans="1:47" x14ac:dyDescent="0.35">
      <c r="D21" s="38" t="str">
        <f>D$14</f>
        <v>Operating period flag</v>
      </c>
      <c r="K21" s="38">
        <f>K$14</f>
        <v>0</v>
      </c>
      <c r="L21" s="38">
        <f t="shared" ref="L21:AU21" si="9">L$14</f>
        <v>1</v>
      </c>
      <c r="M21" s="38">
        <f t="shared" si="9"/>
        <v>1</v>
      </c>
      <c r="N21" s="38">
        <f t="shared" si="9"/>
        <v>1</v>
      </c>
      <c r="O21" s="38">
        <f t="shared" si="9"/>
        <v>1</v>
      </c>
      <c r="P21" s="38">
        <f t="shared" si="9"/>
        <v>1</v>
      </c>
      <c r="Q21" s="38">
        <f t="shared" si="9"/>
        <v>1</v>
      </c>
      <c r="R21" s="38">
        <f t="shared" si="9"/>
        <v>1</v>
      </c>
      <c r="S21" s="38">
        <f t="shared" si="9"/>
        <v>1</v>
      </c>
      <c r="T21" s="38">
        <f t="shared" si="9"/>
        <v>1</v>
      </c>
      <c r="U21" s="38">
        <f t="shared" si="9"/>
        <v>1</v>
      </c>
      <c r="V21" s="38">
        <f t="shared" si="9"/>
        <v>1</v>
      </c>
      <c r="W21" s="38">
        <f t="shared" si="9"/>
        <v>1</v>
      </c>
      <c r="X21" s="38">
        <f t="shared" si="9"/>
        <v>1</v>
      </c>
      <c r="Y21" s="38">
        <f t="shared" si="9"/>
        <v>1</v>
      </c>
      <c r="Z21" s="38">
        <f t="shared" si="9"/>
        <v>1</v>
      </c>
      <c r="AA21" s="38">
        <f t="shared" si="9"/>
        <v>1</v>
      </c>
      <c r="AB21" s="38">
        <f t="shared" si="9"/>
        <v>1</v>
      </c>
      <c r="AC21" s="38">
        <f t="shared" si="9"/>
        <v>1</v>
      </c>
      <c r="AD21" s="38">
        <f t="shared" si="9"/>
        <v>1</v>
      </c>
      <c r="AE21" s="38">
        <f t="shared" si="9"/>
        <v>1</v>
      </c>
      <c r="AF21" s="38">
        <f t="shared" si="9"/>
        <v>1</v>
      </c>
      <c r="AG21" s="38">
        <f t="shared" si="9"/>
        <v>1</v>
      </c>
      <c r="AH21" s="38">
        <f t="shared" si="9"/>
        <v>1</v>
      </c>
      <c r="AI21" s="38">
        <f t="shared" si="9"/>
        <v>1</v>
      </c>
      <c r="AJ21" s="38">
        <f t="shared" si="9"/>
        <v>1</v>
      </c>
      <c r="AK21" s="38">
        <f t="shared" si="9"/>
        <v>1</v>
      </c>
      <c r="AL21" s="38">
        <f t="shared" si="9"/>
        <v>1</v>
      </c>
      <c r="AM21" s="38">
        <f t="shared" si="9"/>
        <v>1</v>
      </c>
      <c r="AN21" s="38">
        <f t="shared" si="9"/>
        <v>1</v>
      </c>
      <c r="AO21" s="38">
        <f t="shared" si="9"/>
        <v>1</v>
      </c>
      <c r="AP21" s="38">
        <f t="shared" si="9"/>
        <v>1</v>
      </c>
      <c r="AQ21" s="38">
        <f t="shared" si="9"/>
        <v>1</v>
      </c>
      <c r="AR21" s="38">
        <f t="shared" si="9"/>
        <v>1</v>
      </c>
      <c r="AS21" s="38">
        <f t="shared" si="9"/>
        <v>1</v>
      </c>
      <c r="AT21" s="38">
        <f t="shared" si="9"/>
        <v>1</v>
      </c>
      <c r="AU21" s="38">
        <f t="shared" si="9"/>
        <v>0</v>
      </c>
    </row>
    <row r="22" spans="1:47" x14ac:dyDescent="0.35">
      <c r="D22" s="8" t="str">
        <f>D$15</f>
        <v>PPA period flag</v>
      </c>
      <c r="K22" s="38">
        <f>K$15</f>
        <v>0</v>
      </c>
      <c r="L22" s="38">
        <f t="shared" ref="L22:AU22" si="10">L$15</f>
        <v>1</v>
      </c>
      <c r="M22" s="38">
        <f t="shared" si="10"/>
        <v>1</v>
      </c>
      <c r="N22" s="38">
        <f t="shared" si="10"/>
        <v>1</v>
      </c>
      <c r="O22" s="38">
        <f t="shared" si="10"/>
        <v>1</v>
      </c>
      <c r="P22" s="38">
        <f t="shared" si="10"/>
        <v>1</v>
      </c>
      <c r="Q22" s="38">
        <f t="shared" si="10"/>
        <v>1</v>
      </c>
      <c r="R22" s="38">
        <f t="shared" si="10"/>
        <v>1</v>
      </c>
      <c r="S22" s="38">
        <f t="shared" si="10"/>
        <v>1</v>
      </c>
      <c r="T22" s="38">
        <f t="shared" si="10"/>
        <v>1</v>
      </c>
      <c r="U22" s="38">
        <f t="shared" si="10"/>
        <v>1</v>
      </c>
      <c r="V22" s="38">
        <f t="shared" si="10"/>
        <v>0</v>
      </c>
      <c r="W22" s="38">
        <f t="shared" si="10"/>
        <v>0</v>
      </c>
      <c r="X22" s="38">
        <f t="shared" si="10"/>
        <v>0</v>
      </c>
      <c r="Y22" s="38">
        <f t="shared" si="10"/>
        <v>0</v>
      </c>
      <c r="Z22" s="38">
        <f t="shared" si="10"/>
        <v>0</v>
      </c>
      <c r="AA22" s="38">
        <f t="shared" si="10"/>
        <v>0</v>
      </c>
      <c r="AB22" s="38">
        <f t="shared" si="10"/>
        <v>0</v>
      </c>
      <c r="AC22" s="38">
        <f t="shared" si="10"/>
        <v>0</v>
      </c>
      <c r="AD22" s="38">
        <f t="shared" si="10"/>
        <v>0</v>
      </c>
      <c r="AE22" s="38">
        <f t="shared" si="10"/>
        <v>0</v>
      </c>
      <c r="AF22" s="38">
        <f t="shared" si="10"/>
        <v>0</v>
      </c>
      <c r="AG22" s="38">
        <f t="shared" si="10"/>
        <v>0</v>
      </c>
      <c r="AH22" s="38">
        <f t="shared" si="10"/>
        <v>0</v>
      </c>
      <c r="AI22" s="38">
        <f t="shared" si="10"/>
        <v>0</v>
      </c>
      <c r="AJ22" s="38">
        <f t="shared" si="10"/>
        <v>0</v>
      </c>
      <c r="AK22" s="38">
        <f t="shared" si="10"/>
        <v>0</v>
      </c>
      <c r="AL22" s="38">
        <f t="shared" si="10"/>
        <v>0</v>
      </c>
      <c r="AM22" s="38">
        <f t="shared" si="10"/>
        <v>0</v>
      </c>
      <c r="AN22" s="38">
        <f t="shared" si="10"/>
        <v>0</v>
      </c>
      <c r="AO22" s="38">
        <f t="shared" si="10"/>
        <v>0</v>
      </c>
      <c r="AP22" s="38">
        <f t="shared" si="10"/>
        <v>0</v>
      </c>
      <c r="AQ22" s="38">
        <f t="shared" si="10"/>
        <v>0</v>
      </c>
      <c r="AR22" s="38">
        <f t="shared" si="10"/>
        <v>0</v>
      </c>
      <c r="AS22" s="38">
        <f t="shared" si="10"/>
        <v>0</v>
      </c>
      <c r="AT22" s="38">
        <f t="shared" si="10"/>
        <v>0</v>
      </c>
      <c r="AU22" s="38">
        <f t="shared" si="10"/>
        <v>0</v>
      </c>
    </row>
    <row r="24" spans="1:47" x14ac:dyDescent="0.35">
      <c r="B24" s="1" t="s">
        <v>15</v>
      </c>
    </row>
    <row r="25" spans="1:47" x14ac:dyDescent="0.35">
      <c r="C25" s="5" t="s">
        <v>40</v>
      </c>
    </row>
    <row r="26" spans="1:47" x14ac:dyDescent="0.35">
      <c r="D26" s="104" t="str">
        <f>Input!D12</f>
        <v>Installed capacity</v>
      </c>
      <c r="E26" s="17">
        <f>Input!E12</f>
        <v>160</v>
      </c>
      <c r="I26" s="16" t="s">
        <v>118</v>
      </c>
      <c r="K26" s="38">
        <f>$E26</f>
        <v>160</v>
      </c>
      <c r="L26" s="38">
        <f t="shared" ref="L26:AU28" si="11">$E26</f>
        <v>160</v>
      </c>
      <c r="M26" s="38">
        <f t="shared" si="11"/>
        <v>160</v>
      </c>
      <c r="N26" s="38">
        <f t="shared" si="11"/>
        <v>160</v>
      </c>
      <c r="O26" s="38">
        <f t="shared" si="11"/>
        <v>160</v>
      </c>
      <c r="P26" s="38">
        <f t="shared" si="11"/>
        <v>160</v>
      </c>
      <c r="Q26" s="38">
        <f t="shared" si="11"/>
        <v>160</v>
      </c>
      <c r="R26" s="38">
        <f t="shared" si="11"/>
        <v>160</v>
      </c>
      <c r="S26" s="38">
        <f t="shared" si="11"/>
        <v>160</v>
      </c>
      <c r="T26" s="38">
        <f t="shared" si="11"/>
        <v>160</v>
      </c>
      <c r="U26" s="38">
        <f t="shared" si="11"/>
        <v>160</v>
      </c>
      <c r="V26" s="38">
        <f t="shared" si="11"/>
        <v>160</v>
      </c>
      <c r="W26" s="38">
        <f t="shared" si="11"/>
        <v>160</v>
      </c>
      <c r="X26" s="38">
        <f t="shared" si="11"/>
        <v>160</v>
      </c>
      <c r="Y26" s="38">
        <f t="shared" si="11"/>
        <v>160</v>
      </c>
      <c r="Z26" s="38">
        <f t="shared" si="11"/>
        <v>160</v>
      </c>
      <c r="AA26" s="38">
        <f t="shared" si="11"/>
        <v>160</v>
      </c>
      <c r="AB26" s="38">
        <f t="shared" si="11"/>
        <v>160</v>
      </c>
      <c r="AC26" s="38">
        <f t="shared" si="11"/>
        <v>160</v>
      </c>
      <c r="AD26" s="38">
        <f t="shared" si="11"/>
        <v>160</v>
      </c>
      <c r="AE26" s="38">
        <f t="shared" si="11"/>
        <v>160</v>
      </c>
      <c r="AF26" s="38">
        <f t="shared" si="11"/>
        <v>160</v>
      </c>
      <c r="AG26" s="38">
        <f t="shared" si="11"/>
        <v>160</v>
      </c>
      <c r="AH26" s="38">
        <f t="shared" si="11"/>
        <v>160</v>
      </c>
      <c r="AI26" s="38">
        <f t="shared" si="11"/>
        <v>160</v>
      </c>
      <c r="AJ26" s="38">
        <f t="shared" si="11"/>
        <v>160</v>
      </c>
      <c r="AK26" s="38">
        <f t="shared" si="11"/>
        <v>160</v>
      </c>
      <c r="AL26" s="38">
        <f t="shared" si="11"/>
        <v>160</v>
      </c>
      <c r="AM26" s="38">
        <f t="shared" si="11"/>
        <v>160</v>
      </c>
      <c r="AN26" s="38">
        <f t="shared" si="11"/>
        <v>160</v>
      </c>
      <c r="AO26" s="38">
        <f t="shared" si="11"/>
        <v>160</v>
      </c>
      <c r="AP26" s="38">
        <f t="shared" si="11"/>
        <v>160</v>
      </c>
      <c r="AQ26" s="38">
        <f t="shared" si="11"/>
        <v>160</v>
      </c>
      <c r="AR26" s="38">
        <f t="shared" si="11"/>
        <v>160</v>
      </c>
      <c r="AS26" s="38">
        <f t="shared" si="11"/>
        <v>160</v>
      </c>
      <c r="AT26" s="38">
        <f t="shared" si="11"/>
        <v>160</v>
      </c>
      <c r="AU26" s="38">
        <f t="shared" si="11"/>
        <v>160</v>
      </c>
    </row>
    <row r="27" spans="1:47" x14ac:dyDescent="0.35">
      <c r="D27" s="2" t="s">
        <v>21</v>
      </c>
      <c r="E27" s="79">
        <f>Input!E13</f>
        <v>0.24</v>
      </c>
      <c r="K27" s="35">
        <f>$E27</f>
        <v>0.24</v>
      </c>
      <c r="L27" s="35">
        <f t="shared" si="11"/>
        <v>0.24</v>
      </c>
      <c r="M27" s="35">
        <f t="shared" si="11"/>
        <v>0.24</v>
      </c>
      <c r="N27" s="35">
        <f t="shared" si="11"/>
        <v>0.24</v>
      </c>
      <c r="O27" s="35">
        <f t="shared" si="11"/>
        <v>0.24</v>
      </c>
      <c r="P27" s="35">
        <f t="shared" si="11"/>
        <v>0.24</v>
      </c>
      <c r="Q27" s="35">
        <f t="shared" si="11"/>
        <v>0.24</v>
      </c>
      <c r="R27" s="35">
        <f t="shared" si="11"/>
        <v>0.24</v>
      </c>
      <c r="S27" s="35">
        <f t="shared" si="11"/>
        <v>0.24</v>
      </c>
      <c r="T27" s="35">
        <f t="shared" si="11"/>
        <v>0.24</v>
      </c>
      <c r="U27" s="35">
        <f t="shared" si="11"/>
        <v>0.24</v>
      </c>
      <c r="V27" s="35">
        <f t="shared" si="11"/>
        <v>0.24</v>
      </c>
      <c r="W27" s="35">
        <f t="shared" si="11"/>
        <v>0.24</v>
      </c>
      <c r="X27" s="35">
        <f t="shared" si="11"/>
        <v>0.24</v>
      </c>
      <c r="Y27" s="35">
        <f t="shared" si="11"/>
        <v>0.24</v>
      </c>
      <c r="Z27" s="35">
        <f t="shared" si="11"/>
        <v>0.24</v>
      </c>
      <c r="AA27" s="35">
        <f t="shared" si="11"/>
        <v>0.24</v>
      </c>
      <c r="AB27" s="35">
        <f t="shared" si="11"/>
        <v>0.24</v>
      </c>
      <c r="AC27" s="35">
        <f t="shared" si="11"/>
        <v>0.24</v>
      </c>
      <c r="AD27" s="35">
        <f t="shared" si="11"/>
        <v>0.24</v>
      </c>
      <c r="AE27" s="35">
        <f t="shared" si="11"/>
        <v>0.24</v>
      </c>
      <c r="AF27" s="35">
        <f t="shared" si="11"/>
        <v>0.24</v>
      </c>
      <c r="AG27" s="35">
        <f t="shared" si="11"/>
        <v>0.24</v>
      </c>
      <c r="AH27" s="35">
        <f t="shared" si="11"/>
        <v>0.24</v>
      </c>
      <c r="AI27" s="35">
        <f t="shared" si="11"/>
        <v>0.24</v>
      </c>
      <c r="AJ27" s="35">
        <f t="shared" si="11"/>
        <v>0.24</v>
      </c>
      <c r="AK27" s="35">
        <f t="shared" si="11"/>
        <v>0.24</v>
      </c>
      <c r="AL27" s="35">
        <f t="shared" si="11"/>
        <v>0.24</v>
      </c>
      <c r="AM27" s="35">
        <f t="shared" si="11"/>
        <v>0.24</v>
      </c>
      <c r="AN27" s="35">
        <f t="shared" si="11"/>
        <v>0.24</v>
      </c>
      <c r="AO27" s="35">
        <f t="shared" si="11"/>
        <v>0.24</v>
      </c>
      <c r="AP27" s="35">
        <f t="shared" si="11"/>
        <v>0.24</v>
      </c>
      <c r="AQ27" s="35">
        <f t="shared" si="11"/>
        <v>0.24</v>
      </c>
      <c r="AR27" s="35">
        <f t="shared" si="11"/>
        <v>0.24</v>
      </c>
      <c r="AS27" s="35">
        <f t="shared" si="11"/>
        <v>0.24</v>
      </c>
      <c r="AT27" s="35">
        <f t="shared" si="11"/>
        <v>0.24</v>
      </c>
      <c r="AU27" s="35">
        <f t="shared" si="11"/>
        <v>0.24</v>
      </c>
    </row>
    <row r="28" spans="1:47" x14ac:dyDescent="0.35">
      <c r="D28" s="2" t="s">
        <v>42</v>
      </c>
      <c r="E28" s="20">
        <f>365*24</f>
        <v>8760</v>
      </c>
      <c r="F28" s="21"/>
      <c r="I28" s="16" t="s">
        <v>241</v>
      </c>
      <c r="K28" s="9">
        <f>$E28</f>
        <v>8760</v>
      </c>
      <c r="L28" s="9">
        <f t="shared" si="11"/>
        <v>8760</v>
      </c>
      <c r="M28" s="9">
        <f t="shared" si="11"/>
        <v>8760</v>
      </c>
      <c r="N28" s="9">
        <f t="shared" si="11"/>
        <v>8760</v>
      </c>
      <c r="O28" s="9">
        <f t="shared" si="11"/>
        <v>8760</v>
      </c>
      <c r="P28" s="9">
        <f t="shared" si="11"/>
        <v>8760</v>
      </c>
      <c r="Q28" s="9">
        <f t="shared" si="11"/>
        <v>8760</v>
      </c>
      <c r="R28" s="9">
        <f t="shared" si="11"/>
        <v>8760</v>
      </c>
      <c r="S28" s="9">
        <f t="shared" si="11"/>
        <v>8760</v>
      </c>
      <c r="T28" s="9">
        <f t="shared" si="11"/>
        <v>8760</v>
      </c>
      <c r="U28" s="9">
        <f t="shared" si="11"/>
        <v>8760</v>
      </c>
      <c r="V28" s="9">
        <f t="shared" si="11"/>
        <v>8760</v>
      </c>
      <c r="W28" s="9">
        <f t="shared" si="11"/>
        <v>8760</v>
      </c>
      <c r="X28" s="9">
        <f t="shared" si="11"/>
        <v>8760</v>
      </c>
      <c r="Y28" s="9">
        <f t="shared" si="11"/>
        <v>8760</v>
      </c>
      <c r="Z28" s="9">
        <f t="shared" si="11"/>
        <v>8760</v>
      </c>
      <c r="AA28" s="9">
        <f t="shared" si="11"/>
        <v>8760</v>
      </c>
      <c r="AB28" s="9">
        <f t="shared" si="11"/>
        <v>8760</v>
      </c>
      <c r="AC28" s="9">
        <f t="shared" si="11"/>
        <v>8760</v>
      </c>
      <c r="AD28" s="9">
        <f t="shared" si="11"/>
        <v>8760</v>
      </c>
      <c r="AE28" s="9">
        <f t="shared" si="11"/>
        <v>8760</v>
      </c>
      <c r="AF28" s="9">
        <f t="shared" si="11"/>
        <v>8760</v>
      </c>
      <c r="AG28" s="9">
        <f t="shared" si="11"/>
        <v>8760</v>
      </c>
      <c r="AH28" s="9">
        <f t="shared" si="11"/>
        <v>8760</v>
      </c>
      <c r="AI28" s="9">
        <f t="shared" si="11"/>
        <v>8760</v>
      </c>
      <c r="AJ28" s="9">
        <f t="shared" si="11"/>
        <v>8760</v>
      </c>
      <c r="AK28" s="9">
        <f t="shared" si="11"/>
        <v>8760</v>
      </c>
      <c r="AL28" s="9">
        <f t="shared" si="11"/>
        <v>8760</v>
      </c>
      <c r="AM28" s="9">
        <f t="shared" si="11"/>
        <v>8760</v>
      </c>
      <c r="AN28" s="9">
        <f t="shared" si="11"/>
        <v>8760</v>
      </c>
      <c r="AO28" s="9">
        <f t="shared" si="11"/>
        <v>8760</v>
      </c>
      <c r="AP28" s="9">
        <f t="shared" si="11"/>
        <v>8760</v>
      </c>
      <c r="AQ28" s="9">
        <f t="shared" si="11"/>
        <v>8760</v>
      </c>
      <c r="AR28" s="9">
        <f t="shared" si="11"/>
        <v>8760</v>
      </c>
      <c r="AS28" s="9">
        <f t="shared" si="11"/>
        <v>8760</v>
      </c>
      <c r="AT28" s="9">
        <f t="shared" si="11"/>
        <v>8760</v>
      </c>
      <c r="AU28" s="9">
        <f t="shared" si="11"/>
        <v>8760</v>
      </c>
    </row>
    <row r="29" spans="1:47" x14ac:dyDescent="0.35">
      <c r="D29" s="3" t="s">
        <v>153</v>
      </c>
      <c r="E29" s="22"/>
      <c r="F29" s="23"/>
      <c r="G29" s="23"/>
      <c r="H29" s="23"/>
      <c r="I29" s="23" t="s">
        <v>20</v>
      </c>
      <c r="J29" s="48"/>
      <c r="K29" s="10">
        <f t="shared" ref="K29:AU29" si="12">K26*K27*K28 * K21</f>
        <v>0</v>
      </c>
      <c r="L29" s="10">
        <f t="shared" si="12"/>
        <v>336384</v>
      </c>
      <c r="M29" s="10">
        <f t="shared" si="12"/>
        <v>336384</v>
      </c>
      <c r="N29" s="10">
        <f t="shared" si="12"/>
        <v>336384</v>
      </c>
      <c r="O29" s="10">
        <f t="shared" si="12"/>
        <v>336384</v>
      </c>
      <c r="P29" s="10">
        <f t="shared" si="12"/>
        <v>336384</v>
      </c>
      <c r="Q29" s="10">
        <f t="shared" si="12"/>
        <v>336384</v>
      </c>
      <c r="R29" s="10">
        <f t="shared" si="12"/>
        <v>336384</v>
      </c>
      <c r="S29" s="10">
        <f t="shared" si="12"/>
        <v>336384</v>
      </c>
      <c r="T29" s="10">
        <f t="shared" si="12"/>
        <v>336384</v>
      </c>
      <c r="U29" s="10">
        <f t="shared" si="12"/>
        <v>336384</v>
      </c>
      <c r="V29" s="10">
        <f t="shared" si="12"/>
        <v>336384</v>
      </c>
      <c r="W29" s="10">
        <f t="shared" si="12"/>
        <v>336384</v>
      </c>
      <c r="X29" s="10">
        <f t="shared" si="12"/>
        <v>336384</v>
      </c>
      <c r="Y29" s="10">
        <f t="shared" si="12"/>
        <v>336384</v>
      </c>
      <c r="Z29" s="10">
        <f t="shared" si="12"/>
        <v>336384</v>
      </c>
      <c r="AA29" s="10">
        <f t="shared" si="12"/>
        <v>336384</v>
      </c>
      <c r="AB29" s="10">
        <f t="shared" si="12"/>
        <v>336384</v>
      </c>
      <c r="AC29" s="10">
        <f t="shared" si="12"/>
        <v>336384</v>
      </c>
      <c r="AD29" s="10">
        <f t="shared" si="12"/>
        <v>336384</v>
      </c>
      <c r="AE29" s="10">
        <f t="shared" si="12"/>
        <v>336384</v>
      </c>
      <c r="AF29" s="10">
        <f t="shared" si="12"/>
        <v>336384</v>
      </c>
      <c r="AG29" s="10">
        <f t="shared" si="12"/>
        <v>336384</v>
      </c>
      <c r="AH29" s="10">
        <f t="shared" si="12"/>
        <v>336384</v>
      </c>
      <c r="AI29" s="10">
        <f t="shared" si="12"/>
        <v>336384</v>
      </c>
      <c r="AJ29" s="10">
        <f t="shared" si="12"/>
        <v>336384</v>
      </c>
      <c r="AK29" s="10">
        <f t="shared" si="12"/>
        <v>336384</v>
      </c>
      <c r="AL29" s="10">
        <f t="shared" si="12"/>
        <v>336384</v>
      </c>
      <c r="AM29" s="10">
        <f t="shared" si="12"/>
        <v>336384</v>
      </c>
      <c r="AN29" s="10">
        <f t="shared" si="12"/>
        <v>336384</v>
      </c>
      <c r="AO29" s="10">
        <f t="shared" si="12"/>
        <v>336384</v>
      </c>
      <c r="AP29" s="10">
        <f t="shared" si="12"/>
        <v>336384</v>
      </c>
      <c r="AQ29" s="10">
        <f t="shared" si="12"/>
        <v>336384</v>
      </c>
      <c r="AR29" s="10">
        <f t="shared" si="12"/>
        <v>336384</v>
      </c>
      <c r="AS29" s="10">
        <f t="shared" si="12"/>
        <v>336384</v>
      </c>
      <c r="AT29" s="10">
        <f t="shared" si="12"/>
        <v>336384</v>
      </c>
      <c r="AU29" s="10">
        <f t="shared" si="12"/>
        <v>0</v>
      </c>
    </row>
    <row r="30" spans="1:47" x14ac:dyDescent="0.35">
      <c r="E30" s="1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x14ac:dyDescent="0.35">
      <c r="D31" s="8" t="str">
        <f>Input!D14</f>
        <v>Degradation</v>
      </c>
      <c r="E31" s="79">
        <f>Input!E14</f>
        <v>5.0000000000000001E-3</v>
      </c>
      <c r="K31" s="107">
        <f t="shared" ref="K31:AU31" si="13">$E31*K21</f>
        <v>0</v>
      </c>
      <c r="L31" s="107">
        <f t="shared" si="13"/>
        <v>5.0000000000000001E-3</v>
      </c>
      <c r="M31" s="107">
        <f t="shared" si="13"/>
        <v>5.0000000000000001E-3</v>
      </c>
      <c r="N31" s="107">
        <f t="shared" si="13"/>
        <v>5.0000000000000001E-3</v>
      </c>
      <c r="O31" s="107">
        <f t="shared" si="13"/>
        <v>5.0000000000000001E-3</v>
      </c>
      <c r="P31" s="107">
        <f t="shared" si="13"/>
        <v>5.0000000000000001E-3</v>
      </c>
      <c r="Q31" s="107">
        <f t="shared" si="13"/>
        <v>5.0000000000000001E-3</v>
      </c>
      <c r="R31" s="107">
        <f t="shared" si="13"/>
        <v>5.0000000000000001E-3</v>
      </c>
      <c r="S31" s="107">
        <f t="shared" si="13"/>
        <v>5.0000000000000001E-3</v>
      </c>
      <c r="T31" s="107">
        <f t="shared" si="13"/>
        <v>5.0000000000000001E-3</v>
      </c>
      <c r="U31" s="107">
        <f t="shared" si="13"/>
        <v>5.0000000000000001E-3</v>
      </c>
      <c r="V31" s="107">
        <f t="shared" si="13"/>
        <v>5.0000000000000001E-3</v>
      </c>
      <c r="W31" s="107">
        <f t="shared" si="13"/>
        <v>5.0000000000000001E-3</v>
      </c>
      <c r="X31" s="107">
        <f t="shared" si="13"/>
        <v>5.0000000000000001E-3</v>
      </c>
      <c r="Y31" s="107">
        <f t="shared" si="13"/>
        <v>5.0000000000000001E-3</v>
      </c>
      <c r="Z31" s="107">
        <f t="shared" si="13"/>
        <v>5.0000000000000001E-3</v>
      </c>
      <c r="AA31" s="107">
        <f t="shared" si="13"/>
        <v>5.0000000000000001E-3</v>
      </c>
      <c r="AB31" s="107">
        <f t="shared" si="13"/>
        <v>5.0000000000000001E-3</v>
      </c>
      <c r="AC31" s="107">
        <f t="shared" si="13"/>
        <v>5.0000000000000001E-3</v>
      </c>
      <c r="AD31" s="107">
        <f t="shared" si="13"/>
        <v>5.0000000000000001E-3</v>
      </c>
      <c r="AE31" s="107">
        <f t="shared" si="13"/>
        <v>5.0000000000000001E-3</v>
      </c>
      <c r="AF31" s="107">
        <f t="shared" si="13"/>
        <v>5.0000000000000001E-3</v>
      </c>
      <c r="AG31" s="107">
        <f t="shared" si="13"/>
        <v>5.0000000000000001E-3</v>
      </c>
      <c r="AH31" s="107">
        <f t="shared" si="13"/>
        <v>5.0000000000000001E-3</v>
      </c>
      <c r="AI31" s="107">
        <f t="shared" si="13"/>
        <v>5.0000000000000001E-3</v>
      </c>
      <c r="AJ31" s="107">
        <f t="shared" si="13"/>
        <v>5.0000000000000001E-3</v>
      </c>
      <c r="AK31" s="107">
        <f t="shared" si="13"/>
        <v>5.0000000000000001E-3</v>
      </c>
      <c r="AL31" s="107">
        <f t="shared" si="13"/>
        <v>5.0000000000000001E-3</v>
      </c>
      <c r="AM31" s="107">
        <f t="shared" si="13"/>
        <v>5.0000000000000001E-3</v>
      </c>
      <c r="AN31" s="107">
        <f t="shared" si="13"/>
        <v>5.0000000000000001E-3</v>
      </c>
      <c r="AO31" s="107">
        <f t="shared" si="13"/>
        <v>5.0000000000000001E-3</v>
      </c>
      <c r="AP31" s="107">
        <f t="shared" si="13"/>
        <v>5.0000000000000001E-3</v>
      </c>
      <c r="AQ31" s="107">
        <f t="shared" si="13"/>
        <v>5.0000000000000001E-3</v>
      </c>
      <c r="AR31" s="107">
        <f t="shared" si="13"/>
        <v>5.0000000000000001E-3</v>
      </c>
      <c r="AS31" s="107">
        <f t="shared" si="13"/>
        <v>5.0000000000000001E-3</v>
      </c>
      <c r="AT31" s="107">
        <f t="shared" si="13"/>
        <v>5.0000000000000001E-3</v>
      </c>
      <c r="AU31" s="107">
        <f t="shared" si="13"/>
        <v>0</v>
      </c>
    </row>
    <row r="32" spans="1:47" x14ac:dyDescent="0.35">
      <c r="D32" s="2" t="s">
        <v>244</v>
      </c>
      <c r="E32" s="97"/>
      <c r="K32" s="108">
        <f>IF(K$20=1, 1, J32*(1-K31))</f>
        <v>0</v>
      </c>
      <c r="L32" s="108">
        <f t="shared" ref="L32:AU32" si="14">IF(L$20=1, 1, K32*(1-L31))</f>
        <v>1</v>
      </c>
      <c r="M32" s="108">
        <f t="shared" si="14"/>
        <v>0.995</v>
      </c>
      <c r="N32" s="108">
        <f t="shared" si="14"/>
        <v>0.99002500000000004</v>
      </c>
      <c r="O32" s="108">
        <f t="shared" si="14"/>
        <v>0.98507487500000002</v>
      </c>
      <c r="P32" s="108">
        <f t="shared" si="14"/>
        <v>0.98014950062500006</v>
      </c>
      <c r="Q32" s="108">
        <f t="shared" si="14"/>
        <v>0.97524875312187509</v>
      </c>
      <c r="R32" s="108">
        <f t="shared" si="14"/>
        <v>0.97037250935626573</v>
      </c>
      <c r="S32" s="108">
        <f t="shared" si="14"/>
        <v>0.96552064680948435</v>
      </c>
      <c r="T32" s="108">
        <f t="shared" si="14"/>
        <v>0.96069304357543694</v>
      </c>
      <c r="U32" s="108">
        <f t="shared" si="14"/>
        <v>0.95588957835755972</v>
      </c>
      <c r="V32" s="108">
        <f t="shared" si="14"/>
        <v>0.95111013046577186</v>
      </c>
      <c r="W32" s="108">
        <f t="shared" si="14"/>
        <v>0.94635457981344295</v>
      </c>
      <c r="X32" s="108">
        <f t="shared" si="14"/>
        <v>0.94162280691437572</v>
      </c>
      <c r="Y32" s="108">
        <f t="shared" si="14"/>
        <v>0.93691469287980389</v>
      </c>
      <c r="Z32" s="108">
        <f t="shared" si="14"/>
        <v>0.9322301194154049</v>
      </c>
      <c r="AA32" s="108">
        <f t="shared" si="14"/>
        <v>0.92756896881832784</v>
      </c>
      <c r="AB32" s="108">
        <f t="shared" si="14"/>
        <v>0.92293112397423616</v>
      </c>
      <c r="AC32" s="108">
        <f t="shared" si="14"/>
        <v>0.91831646835436498</v>
      </c>
      <c r="AD32" s="108">
        <f t="shared" si="14"/>
        <v>0.91372488601259316</v>
      </c>
      <c r="AE32" s="108">
        <f t="shared" si="14"/>
        <v>0.90915626158253016</v>
      </c>
      <c r="AF32" s="108">
        <f t="shared" si="14"/>
        <v>0.90461048027461755</v>
      </c>
      <c r="AG32" s="108">
        <f t="shared" si="14"/>
        <v>0.90008742787324447</v>
      </c>
      <c r="AH32" s="108">
        <f t="shared" si="14"/>
        <v>0.89558699073387826</v>
      </c>
      <c r="AI32" s="108">
        <f t="shared" si="14"/>
        <v>0.89110905578020883</v>
      </c>
      <c r="AJ32" s="108">
        <f t="shared" si="14"/>
        <v>0.88665351050130781</v>
      </c>
      <c r="AK32" s="108">
        <f t="shared" si="14"/>
        <v>0.8822202429488013</v>
      </c>
      <c r="AL32" s="108">
        <f t="shared" si="14"/>
        <v>0.87780914173405733</v>
      </c>
      <c r="AM32" s="108">
        <f t="shared" si="14"/>
        <v>0.87342009602538706</v>
      </c>
      <c r="AN32" s="108">
        <f t="shared" si="14"/>
        <v>0.86905299554526017</v>
      </c>
      <c r="AO32" s="108">
        <f t="shared" si="14"/>
        <v>0.86470773056753381</v>
      </c>
      <c r="AP32" s="108">
        <f t="shared" si="14"/>
        <v>0.86038419191469617</v>
      </c>
      <c r="AQ32" s="108">
        <f t="shared" si="14"/>
        <v>0.85608227095512268</v>
      </c>
      <c r="AR32" s="108">
        <f t="shared" si="14"/>
        <v>0.85180185960034704</v>
      </c>
      <c r="AS32" s="108">
        <f t="shared" si="14"/>
        <v>0.84754285030234533</v>
      </c>
      <c r="AT32" s="108">
        <f t="shared" si="14"/>
        <v>0.84330513605083357</v>
      </c>
      <c r="AU32" s="108">
        <f t="shared" si="14"/>
        <v>0.84330513605083357</v>
      </c>
    </row>
    <row r="33" spans="2:47" x14ac:dyDescent="0.35">
      <c r="D33" s="8" t="str">
        <f>Input!D15</f>
        <v>Marginal Loss Factor (MLF)</v>
      </c>
      <c r="E33" s="105">
        <f>Input!E15</f>
        <v>0.88</v>
      </c>
      <c r="K33" s="109">
        <f>$E33</f>
        <v>0.88</v>
      </c>
      <c r="L33" s="109">
        <f t="shared" ref="L33:AU33" si="15">$E33</f>
        <v>0.88</v>
      </c>
      <c r="M33" s="109">
        <f t="shared" si="15"/>
        <v>0.88</v>
      </c>
      <c r="N33" s="109">
        <f t="shared" si="15"/>
        <v>0.88</v>
      </c>
      <c r="O33" s="109">
        <f t="shared" si="15"/>
        <v>0.88</v>
      </c>
      <c r="P33" s="109">
        <f t="shared" si="15"/>
        <v>0.88</v>
      </c>
      <c r="Q33" s="109">
        <f t="shared" si="15"/>
        <v>0.88</v>
      </c>
      <c r="R33" s="109">
        <f t="shared" si="15"/>
        <v>0.88</v>
      </c>
      <c r="S33" s="109">
        <f t="shared" si="15"/>
        <v>0.88</v>
      </c>
      <c r="T33" s="109">
        <f t="shared" si="15"/>
        <v>0.88</v>
      </c>
      <c r="U33" s="109">
        <f t="shared" si="15"/>
        <v>0.88</v>
      </c>
      <c r="V33" s="109">
        <f t="shared" si="15"/>
        <v>0.88</v>
      </c>
      <c r="W33" s="109">
        <f t="shared" si="15"/>
        <v>0.88</v>
      </c>
      <c r="X33" s="109">
        <f t="shared" si="15"/>
        <v>0.88</v>
      </c>
      <c r="Y33" s="109">
        <f t="shared" si="15"/>
        <v>0.88</v>
      </c>
      <c r="Z33" s="109">
        <f t="shared" si="15"/>
        <v>0.88</v>
      </c>
      <c r="AA33" s="109">
        <f t="shared" si="15"/>
        <v>0.88</v>
      </c>
      <c r="AB33" s="109">
        <f t="shared" si="15"/>
        <v>0.88</v>
      </c>
      <c r="AC33" s="109">
        <f t="shared" si="15"/>
        <v>0.88</v>
      </c>
      <c r="AD33" s="109">
        <f t="shared" si="15"/>
        <v>0.88</v>
      </c>
      <c r="AE33" s="109">
        <f t="shared" si="15"/>
        <v>0.88</v>
      </c>
      <c r="AF33" s="109">
        <f t="shared" si="15"/>
        <v>0.88</v>
      </c>
      <c r="AG33" s="109">
        <f t="shared" si="15"/>
        <v>0.88</v>
      </c>
      <c r="AH33" s="109">
        <f t="shared" si="15"/>
        <v>0.88</v>
      </c>
      <c r="AI33" s="109">
        <f t="shared" si="15"/>
        <v>0.88</v>
      </c>
      <c r="AJ33" s="109">
        <f t="shared" si="15"/>
        <v>0.88</v>
      </c>
      <c r="AK33" s="109">
        <f t="shared" si="15"/>
        <v>0.88</v>
      </c>
      <c r="AL33" s="109">
        <f t="shared" si="15"/>
        <v>0.88</v>
      </c>
      <c r="AM33" s="109">
        <f t="shared" si="15"/>
        <v>0.88</v>
      </c>
      <c r="AN33" s="109">
        <f t="shared" si="15"/>
        <v>0.88</v>
      </c>
      <c r="AO33" s="109">
        <f t="shared" si="15"/>
        <v>0.88</v>
      </c>
      <c r="AP33" s="109">
        <f t="shared" si="15"/>
        <v>0.88</v>
      </c>
      <c r="AQ33" s="109">
        <f t="shared" si="15"/>
        <v>0.88</v>
      </c>
      <c r="AR33" s="109">
        <f t="shared" si="15"/>
        <v>0.88</v>
      </c>
      <c r="AS33" s="109">
        <f t="shared" si="15"/>
        <v>0.88</v>
      </c>
      <c r="AT33" s="109">
        <f t="shared" si="15"/>
        <v>0.88</v>
      </c>
      <c r="AU33" s="109">
        <f t="shared" si="15"/>
        <v>0.88</v>
      </c>
    </row>
    <row r="34" spans="2:47" x14ac:dyDescent="0.35">
      <c r="D34" s="3" t="s">
        <v>155</v>
      </c>
      <c r="E34" s="22"/>
      <c r="F34" s="23"/>
      <c r="G34" s="23"/>
      <c r="H34" s="23"/>
      <c r="I34" s="23" t="s">
        <v>20</v>
      </c>
      <c r="J34" s="23"/>
      <c r="K34" s="110">
        <f>K29*K32*K33</f>
        <v>0</v>
      </c>
      <c r="L34" s="110">
        <f t="shared" ref="L34:AU34" si="16">L29*L32*L33</f>
        <v>296017.91999999998</v>
      </c>
      <c r="M34" s="110">
        <f t="shared" si="16"/>
        <v>294537.83040000004</v>
      </c>
      <c r="N34" s="110">
        <f t="shared" si="16"/>
        <v>293065.14124799997</v>
      </c>
      <c r="O34" s="110">
        <f t="shared" si="16"/>
        <v>291599.81554176001</v>
      </c>
      <c r="P34" s="110">
        <f t="shared" si="16"/>
        <v>290141.81646405126</v>
      </c>
      <c r="Q34" s="110">
        <f t="shared" si="16"/>
        <v>288691.10738173098</v>
      </c>
      <c r="R34" s="110">
        <f t="shared" si="16"/>
        <v>287247.65184482228</v>
      </c>
      <c r="S34" s="110">
        <f t="shared" si="16"/>
        <v>285811.41358559823</v>
      </c>
      <c r="T34" s="110">
        <f t="shared" si="16"/>
        <v>284382.35651767021</v>
      </c>
      <c r="U34" s="110">
        <f t="shared" si="16"/>
        <v>282960.44473508187</v>
      </c>
      <c r="V34" s="110">
        <f t="shared" si="16"/>
        <v>281545.64251140645</v>
      </c>
      <c r="W34" s="110">
        <f t="shared" si="16"/>
        <v>280137.91429884935</v>
      </c>
      <c r="X34" s="110">
        <f t="shared" si="16"/>
        <v>278737.22472735512</v>
      </c>
      <c r="Y34" s="110">
        <f t="shared" si="16"/>
        <v>277343.53860371839</v>
      </c>
      <c r="Z34" s="110">
        <f t="shared" si="16"/>
        <v>275956.82091069978</v>
      </c>
      <c r="AA34" s="110">
        <f t="shared" si="16"/>
        <v>274577.03680614627</v>
      </c>
      <c r="AB34" s="110">
        <f t="shared" si="16"/>
        <v>273204.15162211552</v>
      </c>
      <c r="AC34" s="110">
        <f t="shared" si="16"/>
        <v>271838.13086400495</v>
      </c>
      <c r="AD34" s="110">
        <f t="shared" si="16"/>
        <v>270478.94020968489</v>
      </c>
      <c r="AE34" s="110">
        <f t="shared" si="16"/>
        <v>269126.54550863651</v>
      </c>
      <c r="AF34" s="110">
        <f t="shared" si="16"/>
        <v>267780.91278109333</v>
      </c>
      <c r="AG34" s="110">
        <f t="shared" si="16"/>
        <v>266442.00821718789</v>
      </c>
      <c r="AH34" s="110">
        <f t="shared" si="16"/>
        <v>265109.79817610187</v>
      </c>
      <c r="AI34" s="110">
        <f t="shared" si="16"/>
        <v>263784.24918522139</v>
      </c>
      <c r="AJ34" s="110">
        <f t="shared" si="16"/>
        <v>262465.32793929527</v>
      </c>
      <c r="AK34" s="110">
        <f t="shared" si="16"/>
        <v>261153.00129959884</v>
      </c>
      <c r="AL34" s="110">
        <f t="shared" si="16"/>
        <v>259847.23629310084</v>
      </c>
      <c r="AM34" s="110">
        <f t="shared" si="16"/>
        <v>258548.00011163537</v>
      </c>
      <c r="AN34" s="110">
        <f t="shared" si="16"/>
        <v>257255.26011107716</v>
      </c>
      <c r="AO34" s="110">
        <f t="shared" si="16"/>
        <v>255968.98381052175</v>
      </c>
      <c r="AP34" s="110">
        <f t="shared" si="16"/>
        <v>254689.13889146919</v>
      </c>
      <c r="AQ34" s="110">
        <f t="shared" si="16"/>
        <v>253415.69319701183</v>
      </c>
      <c r="AR34" s="110">
        <f t="shared" si="16"/>
        <v>252148.61473102676</v>
      </c>
      <c r="AS34" s="110">
        <f t="shared" si="16"/>
        <v>250887.87165737167</v>
      </c>
      <c r="AT34" s="110">
        <f t="shared" si="16"/>
        <v>249633.43229908479</v>
      </c>
      <c r="AU34" s="110">
        <f t="shared" si="16"/>
        <v>0</v>
      </c>
    </row>
    <row r="35" spans="2:47" x14ac:dyDescent="0.35">
      <c r="E35" s="1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2:47" x14ac:dyDescent="0.35">
      <c r="C36" s="5" t="s">
        <v>22</v>
      </c>
      <c r="E36" s="1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2:47" x14ac:dyDescent="0.35">
      <c r="D37" s="5" t="s">
        <v>37</v>
      </c>
      <c r="E37" s="1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2:47" x14ac:dyDescent="0.35">
      <c r="D38" s="2" t="s">
        <v>156</v>
      </c>
      <c r="E38" s="111">
        <f>Input!E34</f>
        <v>0.65</v>
      </c>
      <c r="I38" s="16" t="s">
        <v>20</v>
      </c>
      <c r="K38" s="9">
        <f>K$34*$E38*K22</f>
        <v>0</v>
      </c>
      <c r="L38" s="9">
        <f t="shared" ref="L38:AU38" si="17">L$34*$E38*L22</f>
        <v>192411.64799999999</v>
      </c>
      <c r="M38" s="9">
        <f t="shared" si="17"/>
        <v>191449.58976000003</v>
      </c>
      <c r="N38" s="9">
        <f t="shared" si="17"/>
        <v>190492.34181119999</v>
      </c>
      <c r="O38" s="9">
        <f t="shared" si="17"/>
        <v>189539.880102144</v>
      </c>
      <c r="P38" s="9">
        <f t="shared" si="17"/>
        <v>188592.18070163333</v>
      </c>
      <c r="Q38" s="9">
        <f t="shared" si="17"/>
        <v>187649.21979812515</v>
      </c>
      <c r="R38" s="9">
        <f t="shared" si="17"/>
        <v>186710.97369913448</v>
      </c>
      <c r="S38" s="9">
        <f t="shared" si="17"/>
        <v>185777.41883063887</v>
      </c>
      <c r="T38" s="9">
        <f t="shared" si="17"/>
        <v>184848.53173648563</v>
      </c>
      <c r="U38" s="9">
        <f t="shared" si="17"/>
        <v>183924.28907780323</v>
      </c>
      <c r="V38" s="9">
        <f t="shared" si="17"/>
        <v>0</v>
      </c>
      <c r="W38" s="9">
        <f t="shared" si="17"/>
        <v>0</v>
      </c>
      <c r="X38" s="9">
        <f t="shared" si="17"/>
        <v>0</v>
      </c>
      <c r="Y38" s="9">
        <f t="shared" si="17"/>
        <v>0</v>
      </c>
      <c r="Z38" s="9">
        <f t="shared" si="17"/>
        <v>0</v>
      </c>
      <c r="AA38" s="9">
        <f t="shared" si="17"/>
        <v>0</v>
      </c>
      <c r="AB38" s="9">
        <f t="shared" si="17"/>
        <v>0</v>
      </c>
      <c r="AC38" s="9">
        <f t="shared" si="17"/>
        <v>0</v>
      </c>
      <c r="AD38" s="9">
        <f t="shared" si="17"/>
        <v>0</v>
      </c>
      <c r="AE38" s="9">
        <f t="shared" si="17"/>
        <v>0</v>
      </c>
      <c r="AF38" s="9">
        <f t="shared" si="17"/>
        <v>0</v>
      </c>
      <c r="AG38" s="9">
        <f t="shared" si="17"/>
        <v>0</v>
      </c>
      <c r="AH38" s="9">
        <f t="shared" si="17"/>
        <v>0</v>
      </c>
      <c r="AI38" s="9">
        <f t="shared" si="17"/>
        <v>0</v>
      </c>
      <c r="AJ38" s="9">
        <f t="shared" si="17"/>
        <v>0</v>
      </c>
      <c r="AK38" s="9">
        <f t="shared" si="17"/>
        <v>0</v>
      </c>
      <c r="AL38" s="9">
        <f t="shared" si="17"/>
        <v>0</v>
      </c>
      <c r="AM38" s="9">
        <f t="shared" si="17"/>
        <v>0</v>
      </c>
      <c r="AN38" s="9">
        <f t="shared" si="17"/>
        <v>0</v>
      </c>
      <c r="AO38" s="9">
        <f t="shared" si="17"/>
        <v>0</v>
      </c>
      <c r="AP38" s="9">
        <f t="shared" si="17"/>
        <v>0</v>
      </c>
      <c r="AQ38" s="9">
        <f t="shared" si="17"/>
        <v>0</v>
      </c>
      <c r="AR38" s="9">
        <f t="shared" si="17"/>
        <v>0</v>
      </c>
      <c r="AS38" s="9">
        <f t="shared" si="17"/>
        <v>0</v>
      </c>
      <c r="AT38" s="9">
        <f t="shared" si="17"/>
        <v>0</v>
      </c>
      <c r="AU38" s="9">
        <f t="shared" si="17"/>
        <v>0</v>
      </c>
    </row>
    <row r="39" spans="2:47" x14ac:dyDescent="0.35">
      <c r="D39" s="38" t="str">
        <f>Input!D35</f>
        <v>PPA price</v>
      </c>
      <c r="E39" s="17">
        <f>Input!E35</f>
        <v>75</v>
      </c>
      <c r="I39" s="16" t="s">
        <v>126</v>
      </c>
      <c r="K39" s="38">
        <f>$E39*K22</f>
        <v>0</v>
      </c>
      <c r="L39" s="38">
        <f t="shared" ref="L39:AU39" si="18">$E39*L22</f>
        <v>75</v>
      </c>
      <c r="M39" s="38">
        <f t="shared" si="18"/>
        <v>75</v>
      </c>
      <c r="N39" s="38">
        <f t="shared" si="18"/>
        <v>75</v>
      </c>
      <c r="O39" s="38">
        <f t="shared" si="18"/>
        <v>75</v>
      </c>
      <c r="P39" s="38">
        <f t="shared" si="18"/>
        <v>75</v>
      </c>
      <c r="Q39" s="38">
        <f t="shared" si="18"/>
        <v>75</v>
      </c>
      <c r="R39" s="38">
        <f t="shared" si="18"/>
        <v>75</v>
      </c>
      <c r="S39" s="38">
        <f t="shared" si="18"/>
        <v>75</v>
      </c>
      <c r="T39" s="38">
        <f t="shared" si="18"/>
        <v>75</v>
      </c>
      <c r="U39" s="38">
        <f t="shared" si="18"/>
        <v>75</v>
      </c>
      <c r="V39" s="38">
        <f t="shared" si="18"/>
        <v>0</v>
      </c>
      <c r="W39" s="38">
        <f t="shared" si="18"/>
        <v>0</v>
      </c>
      <c r="X39" s="38">
        <f t="shared" si="18"/>
        <v>0</v>
      </c>
      <c r="Y39" s="38">
        <f t="shared" si="18"/>
        <v>0</v>
      </c>
      <c r="Z39" s="38">
        <f t="shared" si="18"/>
        <v>0</v>
      </c>
      <c r="AA39" s="38">
        <f t="shared" si="18"/>
        <v>0</v>
      </c>
      <c r="AB39" s="38">
        <f t="shared" si="18"/>
        <v>0</v>
      </c>
      <c r="AC39" s="38">
        <f t="shared" si="18"/>
        <v>0</v>
      </c>
      <c r="AD39" s="38">
        <f t="shared" si="18"/>
        <v>0</v>
      </c>
      <c r="AE39" s="38">
        <f t="shared" si="18"/>
        <v>0</v>
      </c>
      <c r="AF39" s="38">
        <f t="shared" si="18"/>
        <v>0</v>
      </c>
      <c r="AG39" s="38">
        <f t="shared" si="18"/>
        <v>0</v>
      </c>
      <c r="AH39" s="38">
        <f t="shared" si="18"/>
        <v>0</v>
      </c>
      <c r="AI39" s="38">
        <f t="shared" si="18"/>
        <v>0</v>
      </c>
      <c r="AJ39" s="38">
        <f t="shared" si="18"/>
        <v>0</v>
      </c>
      <c r="AK39" s="38">
        <f t="shared" si="18"/>
        <v>0</v>
      </c>
      <c r="AL39" s="38">
        <f t="shared" si="18"/>
        <v>0</v>
      </c>
      <c r="AM39" s="38">
        <f t="shared" si="18"/>
        <v>0</v>
      </c>
      <c r="AN39" s="38">
        <f t="shared" si="18"/>
        <v>0</v>
      </c>
      <c r="AO39" s="38">
        <f t="shared" si="18"/>
        <v>0</v>
      </c>
      <c r="AP39" s="38">
        <f t="shared" si="18"/>
        <v>0</v>
      </c>
      <c r="AQ39" s="38">
        <f t="shared" si="18"/>
        <v>0</v>
      </c>
      <c r="AR39" s="38">
        <f t="shared" si="18"/>
        <v>0</v>
      </c>
      <c r="AS39" s="38">
        <f t="shared" si="18"/>
        <v>0</v>
      </c>
      <c r="AT39" s="38">
        <f t="shared" si="18"/>
        <v>0</v>
      </c>
      <c r="AU39" s="38">
        <f t="shared" si="18"/>
        <v>0</v>
      </c>
    </row>
    <row r="40" spans="2:47" x14ac:dyDescent="0.35">
      <c r="D40" s="40" t="s">
        <v>158</v>
      </c>
      <c r="E40" s="46"/>
      <c r="F40" s="23"/>
      <c r="G40" s="23"/>
      <c r="H40" s="23"/>
      <c r="I40" s="23" t="s">
        <v>114</v>
      </c>
      <c r="J40" s="23"/>
      <c r="K40" s="40">
        <f>K38*K39</f>
        <v>0</v>
      </c>
      <c r="L40" s="40">
        <f t="shared" ref="L40:AU40" si="19">L38*L39</f>
        <v>14430873.6</v>
      </c>
      <c r="M40" s="40">
        <f t="shared" si="19"/>
        <v>14358719.232000003</v>
      </c>
      <c r="N40" s="40">
        <f t="shared" si="19"/>
        <v>14286925.635839999</v>
      </c>
      <c r="O40" s="40">
        <f t="shared" si="19"/>
        <v>14215491.007660801</v>
      </c>
      <c r="P40" s="40">
        <f t="shared" si="19"/>
        <v>14144413.552622501</v>
      </c>
      <c r="Q40" s="40">
        <f t="shared" si="19"/>
        <v>14073691.484859386</v>
      </c>
      <c r="R40" s="40">
        <f t="shared" si="19"/>
        <v>14003323.027435087</v>
      </c>
      <c r="S40" s="40">
        <f t="shared" si="19"/>
        <v>13933306.412297916</v>
      </c>
      <c r="T40" s="40">
        <f t="shared" si="19"/>
        <v>13863639.880236423</v>
      </c>
      <c r="U40" s="40">
        <f t="shared" si="19"/>
        <v>13794321.680835241</v>
      </c>
      <c r="V40" s="40">
        <f t="shared" si="19"/>
        <v>0</v>
      </c>
      <c r="W40" s="40">
        <f t="shared" si="19"/>
        <v>0</v>
      </c>
      <c r="X40" s="40">
        <f t="shared" si="19"/>
        <v>0</v>
      </c>
      <c r="Y40" s="40">
        <f t="shared" si="19"/>
        <v>0</v>
      </c>
      <c r="Z40" s="40">
        <f t="shared" si="19"/>
        <v>0</v>
      </c>
      <c r="AA40" s="40">
        <f t="shared" si="19"/>
        <v>0</v>
      </c>
      <c r="AB40" s="40">
        <f t="shared" si="19"/>
        <v>0</v>
      </c>
      <c r="AC40" s="40">
        <f t="shared" si="19"/>
        <v>0</v>
      </c>
      <c r="AD40" s="40">
        <f t="shared" si="19"/>
        <v>0</v>
      </c>
      <c r="AE40" s="40">
        <f t="shared" si="19"/>
        <v>0</v>
      </c>
      <c r="AF40" s="40">
        <f t="shared" si="19"/>
        <v>0</v>
      </c>
      <c r="AG40" s="40">
        <f t="shared" si="19"/>
        <v>0</v>
      </c>
      <c r="AH40" s="40">
        <f t="shared" si="19"/>
        <v>0</v>
      </c>
      <c r="AI40" s="40">
        <f t="shared" si="19"/>
        <v>0</v>
      </c>
      <c r="AJ40" s="40">
        <f t="shared" si="19"/>
        <v>0</v>
      </c>
      <c r="AK40" s="40">
        <f t="shared" si="19"/>
        <v>0</v>
      </c>
      <c r="AL40" s="40">
        <f t="shared" si="19"/>
        <v>0</v>
      </c>
      <c r="AM40" s="40">
        <f t="shared" si="19"/>
        <v>0</v>
      </c>
      <c r="AN40" s="40">
        <f t="shared" si="19"/>
        <v>0</v>
      </c>
      <c r="AO40" s="40">
        <f t="shared" si="19"/>
        <v>0</v>
      </c>
      <c r="AP40" s="40">
        <f t="shared" si="19"/>
        <v>0</v>
      </c>
      <c r="AQ40" s="40">
        <f t="shared" si="19"/>
        <v>0</v>
      </c>
      <c r="AR40" s="40">
        <f t="shared" si="19"/>
        <v>0</v>
      </c>
      <c r="AS40" s="40">
        <f t="shared" si="19"/>
        <v>0</v>
      </c>
      <c r="AT40" s="40">
        <f t="shared" si="19"/>
        <v>0</v>
      </c>
      <c r="AU40" s="40">
        <f t="shared" si="19"/>
        <v>0</v>
      </c>
    </row>
    <row r="41" spans="2:47" x14ac:dyDescent="0.35">
      <c r="D41" s="38"/>
      <c r="E41" s="17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</row>
    <row r="42" spans="2:47" x14ac:dyDescent="0.35">
      <c r="D42" s="5" t="s">
        <v>157</v>
      </c>
    </row>
    <row r="43" spans="2:47" x14ac:dyDescent="0.35">
      <c r="D43" s="38" t="s">
        <v>159</v>
      </c>
      <c r="I43" s="16" t="s">
        <v>20</v>
      </c>
      <c r="K43" s="38">
        <f>K34-K38</f>
        <v>0</v>
      </c>
      <c r="L43" s="38">
        <f t="shared" ref="L43:AU43" si="20">L34-L38</f>
        <v>103606.272</v>
      </c>
      <c r="M43" s="38">
        <f t="shared" si="20"/>
        <v>103088.24064</v>
      </c>
      <c r="N43" s="38">
        <f t="shared" si="20"/>
        <v>102572.79943679998</v>
      </c>
      <c r="O43" s="38">
        <f t="shared" si="20"/>
        <v>102059.93543961601</v>
      </c>
      <c r="P43" s="38">
        <f t="shared" si="20"/>
        <v>101549.63576241792</v>
      </c>
      <c r="Q43" s="38">
        <f t="shared" si="20"/>
        <v>101041.88758360583</v>
      </c>
      <c r="R43" s="38">
        <f t="shared" si="20"/>
        <v>100536.67814568779</v>
      </c>
      <c r="S43" s="38">
        <f t="shared" si="20"/>
        <v>100033.99475495936</v>
      </c>
      <c r="T43" s="38">
        <f t="shared" si="20"/>
        <v>99533.824781184579</v>
      </c>
      <c r="U43" s="38">
        <f t="shared" si="20"/>
        <v>99036.155657278636</v>
      </c>
      <c r="V43" s="38">
        <f t="shared" si="20"/>
        <v>281545.64251140645</v>
      </c>
      <c r="W43" s="38">
        <f t="shared" si="20"/>
        <v>280137.91429884935</v>
      </c>
      <c r="X43" s="38">
        <f t="shared" si="20"/>
        <v>278737.22472735512</v>
      </c>
      <c r="Y43" s="38">
        <f t="shared" si="20"/>
        <v>277343.53860371839</v>
      </c>
      <c r="Z43" s="38">
        <f t="shared" si="20"/>
        <v>275956.82091069978</v>
      </c>
      <c r="AA43" s="38">
        <f t="shared" si="20"/>
        <v>274577.03680614627</v>
      </c>
      <c r="AB43" s="38">
        <f t="shared" si="20"/>
        <v>273204.15162211552</v>
      </c>
      <c r="AC43" s="38">
        <f t="shared" si="20"/>
        <v>271838.13086400495</v>
      </c>
      <c r="AD43" s="38">
        <f t="shared" si="20"/>
        <v>270478.94020968489</v>
      </c>
      <c r="AE43" s="38">
        <f t="shared" si="20"/>
        <v>269126.54550863651</v>
      </c>
      <c r="AF43" s="38">
        <f t="shared" si="20"/>
        <v>267780.91278109333</v>
      </c>
      <c r="AG43" s="38">
        <f t="shared" si="20"/>
        <v>266442.00821718789</v>
      </c>
      <c r="AH43" s="38">
        <f t="shared" si="20"/>
        <v>265109.79817610187</v>
      </c>
      <c r="AI43" s="38">
        <f t="shared" si="20"/>
        <v>263784.24918522139</v>
      </c>
      <c r="AJ43" s="38">
        <f t="shared" si="20"/>
        <v>262465.32793929527</v>
      </c>
      <c r="AK43" s="38">
        <f t="shared" si="20"/>
        <v>261153.00129959884</v>
      </c>
      <c r="AL43" s="38">
        <f t="shared" si="20"/>
        <v>259847.23629310084</v>
      </c>
      <c r="AM43" s="38">
        <f t="shared" si="20"/>
        <v>258548.00011163537</v>
      </c>
      <c r="AN43" s="38">
        <f t="shared" si="20"/>
        <v>257255.26011107716</v>
      </c>
      <c r="AO43" s="38">
        <f t="shared" si="20"/>
        <v>255968.98381052175</v>
      </c>
      <c r="AP43" s="38">
        <f t="shared" si="20"/>
        <v>254689.13889146919</v>
      </c>
      <c r="AQ43" s="38">
        <f t="shared" si="20"/>
        <v>253415.69319701183</v>
      </c>
      <c r="AR43" s="38">
        <f t="shared" si="20"/>
        <v>252148.61473102676</v>
      </c>
      <c r="AS43" s="38">
        <f t="shared" si="20"/>
        <v>250887.87165737167</v>
      </c>
      <c r="AT43" s="38">
        <f t="shared" si="20"/>
        <v>249633.43229908479</v>
      </c>
      <c r="AU43" s="38">
        <f t="shared" si="20"/>
        <v>0</v>
      </c>
    </row>
    <row r="44" spans="2:47" x14ac:dyDescent="0.35">
      <c r="D44" s="8" t="str">
        <f>Input!D40</f>
        <v>Spot price (2028)</v>
      </c>
      <c r="E44" s="17">
        <f>Input!E40</f>
        <v>55</v>
      </c>
      <c r="I44" s="16" t="s">
        <v>126</v>
      </c>
      <c r="K44" s="38">
        <f>$E44</f>
        <v>55</v>
      </c>
      <c r="L44" s="38">
        <f t="shared" ref="L44:AU47" si="21">$E44</f>
        <v>55</v>
      </c>
      <c r="M44" s="38">
        <f t="shared" si="21"/>
        <v>55</v>
      </c>
      <c r="N44" s="38">
        <f t="shared" si="21"/>
        <v>55</v>
      </c>
      <c r="O44" s="38">
        <f t="shared" si="21"/>
        <v>55</v>
      </c>
      <c r="P44" s="38">
        <f t="shared" si="21"/>
        <v>55</v>
      </c>
      <c r="Q44" s="38">
        <f t="shared" si="21"/>
        <v>55</v>
      </c>
      <c r="R44" s="38">
        <f t="shared" si="21"/>
        <v>55</v>
      </c>
      <c r="S44" s="38">
        <f t="shared" si="21"/>
        <v>55</v>
      </c>
      <c r="T44" s="38">
        <f t="shared" si="21"/>
        <v>55</v>
      </c>
      <c r="U44" s="38">
        <f t="shared" si="21"/>
        <v>55</v>
      </c>
      <c r="V44" s="38">
        <f t="shared" si="21"/>
        <v>55</v>
      </c>
      <c r="W44" s="38">
        <f t="shared" si="21"/>
        <v>55</v>
      </c>
      <c r="X44" s="38">
        <f t="shared" si="21"/>
        <v>55</v>
      </c>
      <c r="Y44" s="38">
        <f t="shared" si="21"/>
        <v>55</v>
      </c>
      <c r="Z44" s="38">
        <f t="shared" si="21"/>
        <v>55</v>
      </c>
      <c r="AA44" s="38">
        <f t="shared" si="21"/>
        <v>55</v>
      </c>
      <c r="AB44" s="38">
        <f t="shared" si="21"/>
        <v>55</v>
      </c>
      <c r="AC44" s="38">
        <f t="shared" si="21"/>
        <v>55</v>
      </c>
      <c r="AD44" s="38">
        <f t="shared" si="21"/>
        <v>55</v>
      </c>
      <c r="AE44" s="38">
        <f t="shared" si="21"/>
        <v>55</v>
      </c>
      <c r="AF44" s="38">
        <f t="shared" si="21"/>
        <v>55</v>
      </c>
      <c r="AG44" s="38">
        <f t="shared" si="21"/>
        <v>55</v>
      </c>
      <c r="AH44" s="38">
        <f t="shared" si="21"/>
        <v>55</v>
      </c>
      <c r="AI44" s="38">
        <f t="shared" si="21"/>
        <v>55</v>
      </c>
      <c r="AJ44" s="38">
        <f t="shared" si="21"/>
        <v>55</v>
      </c>
      <c r="AK44" s="38">
        <f t="shared" si="21"/>
        <v>55</v>
      </c>
      <c r="AL44" s="38">
        <f t="shared" si="21"/>
        <v>55</v>
      </c>
      <c r="AM44" s="38">
        <f t="shared" si="21"/>
        <v>55</v>
      </c>
      <c r="AN44" s="38">
        <f t="shared" si="21"/>
        <v>55</v>
      </c>
      <c r="AO44" s="38">
        <f t="shared" si="21"/>
        <v>55</v>
      </c>
      <c r="AP44" s="38">
        <f t="shared" si="21"/>
        <v>55</v>
      </c>
      <c r="AQ44" s="38">
        <f t="shared" si="21"/>
        <v>55</v>
      </c>
      <c r="AR44" s="38">
        <f t="shared" si="21"/>
        <v>55</v>
      </c>
      <c r="AS44" s="38">
        <f t="shared" si="21"/>
        <v>55</v>
      </c>
      <c r="AT44" s="38">
        <f t="shared" si="21"/>
        <v>55</v>
      </c>
      <c r="AU44" s="38">
        <f t="shared" si="21"/>
        <v>55</v>
      </c>
    </row>
    <row r="45" spans="2:47" x14ac:dyDescent="0.35">
      <c r="D45" s="8" t="str">
        <f>Input!D41</f>
        <v>Spot price escalation</v>
      </c>
      <c r="E45" s="79">
        <f>Input!E41</f>
        <v>0.02</v>
      </c>
      <c r="K45" s="35">
        <f t="shared" ref="K45:K47" si="22">$E45</f>
        <v>0.02</v>
      </c>
      <c r="L45" s="35">
        <f t="shared" si="21"/>
        <v>0.02</v>
      </c>
      <c r="M45" s="35">
        <f t="shared" si="21"/>
        <v>0.02</v>
      </c>
      <c r="N45" s="35">
        <f t="shared" si="21"/>
        <v>0.02</v>
      </c>
      <c r="O45" s="35">
        <f t="shared" si="21"/>
        <v>0.02</v>
      </c>
      <c r="P45" s="35">
        <f t="shared" si="21"/>
        <v>0.02</v>
      </c>
      <c r="Q45" s="35">
        <f t="shared" si="21"/>
        <v>0.02</v>
      </c>
      <c r="R45" s="35">
        <f t="shared" si="21"/>
        <v>0.02</v>
      </c>
      <c r="S45" s="35">
        <f t="shared" si="21"/>
        <v>0.02</v>
      </c>
      <c r="T45" s="35">
        <f t="shared" si="21"/>
        <v>0.02</v>
      </c>
      <c r="U45" s="35">
        <f t="shared" si="21"/>
        <v>0.02</v>
      </c>
      <c r="V45" s="35">
        <f t="shared" si="21"/>
        <v>0.02</v>
      </c>
      <c r="W45" s="35">
        <f t="shared" si="21"/>
        <v>0.02</v>
      </c>
      <c r="X45" s="35">
        <f t="shared" si="21"/>
        <v>0.02</v>
      </c>
      <c r="Y45" s="35">
        <f t="shared" si="21"/>
        <v>0.02</v>
      </c>
      <c r="Z45" s="35">
        <f t="shared" si="21"/>
        <v>0.02</v>
      </c>
      <c r="AA45" s="35">
        <f t="shared" si="21"/>
        <v>0.02</v>
      </c>
      <c r="AB45" s="35">
        <f t="shared" si="21"/>
        <v>0.02</v>
      </c>
      <c r="AC45" s="35">
        <f t="shared" si="21"/>
        <v>0.02</v>
      </c>
      <c r="AD45" s="35">
        <f t="shared" si="21"/>
        <v>0.02</v>
      </c>
      <c r="AE45" s="35">
        <f t="shared" si="21"/>
        <v>0.02</v>
      </c>
      <c r="AF45" s="35">
        <f t="shared" si="21"/>
        <v>0.02</v>
      </c>
      <c r="AG45" s="35">
        <f t="shared" si="21"/>
        <v>0.02</v>
      </c>
      <c r="AH45" s="35">
        <f t="shared" si="21"/>
        <v>0.02</v>
      </c>
      <c r="AI45" s="35">
        <f t="shared" si="21"/>
        <v>0.02</v>
      </c>
      <c r="AJ45" s="35">
        <f t="shared" si="21"/>
        <v>0.02</v>
      </c>
      <c r="AK45" s="35">
        <f t="shared" si="21"/>
        <v>0.02</v>
      </c>
      <c r="AL45" s="35">
        <f t="shared" si="21"/>
        <v>0.02</v>
      </c>
      <c r="AM45" s="35">
        <f t="shared" si="21"/>
        <v>0.02</v>
      </c>
      <c r="AN45" s="35">
        <f t="shared" si="21"/>
        <v>0.02</v>
      </c>
      <c r="AO45" s="35">
        <f t="shared" si="21"/>
        <v>0.02</v>
      </c>
      <c r="AP45" s="35">
        <f t="shared" si="21"/>
        <v>0.02</v>
      </c>
      <c r="AQ45" s="35">
        <f t="shared" si="21"/>
        <v>0.02</v>
      </c>
      <c r="AR45" s="35">
        <f t="shared" si="21"/>
        <v>0.02</v>
      </c>
      <c r="AS45" s="35">
        <f t="shared" si="21"/>
        <v>0.02</v>
      </c>
      <c r="AT45" s="35">
        <f t="shared" si="21"/>
        <v>0.02</v>
      </c>
      <c r="AU45" s="35">
        <f t="shared" si="21"/>
        <v>0.02</v>
      </c>
    </row>
    <row r="46" spans="2:47" x14ac:dyDescent="0.35">
      <c r="B46" s="2"/>
      <c r="D46" s="2" t="s">
        <v>161</v>
      </c>
      <c r="E46" s="97"/>
      <c r="K46" s="108">
        <f t="shared" ref="K46:AU46" si="23">IF(K$20=1, 1, J46*(1+K45))</f>
        <v>0</v>
      </c>
      <c r="L46" s="108">
        <f t="shared" si="23"/>
        <v>1</v>
      </c>
      <c r="M46" s="108">
        <f t="shared" si="23"/>
        <v>1.02</v>
      </c>
      <c r="N46" s="108">
        <f t="shared" si="23"/>
        <v>1.0404</v>
      </c>
      <c r="O46" s="108">
        <f t="shared" si="23"/>
        <v>1.0612079999999999</v>
      </c>
      <c r="P46" s="108">
        <f t="shared" si="23"/>
        <v>1.08243216</v>
      </c>
      <c r="Q46" s="108">
        <f t="shared" si="23"/>
        <v>1.1040808032</v>
      </c>
      <c r="R46" s="108">
        <f t="shared" si="23"/>
        <v>1.1261624192640001</v>
      </c>
      <c r="S46" s="108">
        <f t="shared" si="23"/>
        <v>1.14868566764928</v>
      </c>
      <c r="T46" s="108">
        <f t="shared" si="23"/>
        <v>1.1716593810022657</v>
      </c>
      <c r="U46" s="108">
        <f t="shared" si="23"/>
        <v>1.1950925686223111</v>
      </c>
      <c r="V46" s="108">
        <f t="shared" si="23"/>
        <v>1.2189944199947573</v>
      </c>
      <c r="W46" s="108">
        <f t="shared" si="23"/>
        <v>1.2433743083946525</v>
      </c>
      <c r="X46" s="108">
        <f t="shared" si="23"/>
        <v>1.2682417945625455</v>
      </c>
      <c r="Y46" s="108">
        <f t="shared" si="23"/>
        <v>1.2936066304537963</v>
      </c>
      <c r="Z46" s="108">
        <f t="shared" si="23"/>
        <v>1.3194787630628724</v>
      </c>
      <c r="AA46" s="108">
        <f t="shared" si="23"/>
        <v>1.3458683383241299</v>
      </c>
      <c r="AB46" s="108">
        <f t="shared" si="23"/>
        <v>1.3727857050906125</v>
      </c>
      <c r="AC46" s="108">
        <f t="shared" si="23"/>
        <v>1.4002414191924248</v>
      </c>
      <c r="AD46" s="108">
        <f t="shared" si="23"/>
        <v>1.4282462475762734</v>
      </c>
      <c r="AE46" s="108">
        <f t="shared" si="23"/>
        <v>1.4568111725277988</v>
      </c>
      <c r="AF46" s="108">
        <f t="shared" si="23"/>
        <v>1.4859473959783549</v>
      </c>
      <c r="AG46" s="108">
        <f t="shared" si="23"/>
        <v>1.5156663438979221</v>
      </c>
      <c r="AH46" s="108">
        <f t="shared" si="23"/>
        <v>1.5459796707758806</v>
      </c>
      <c r="AI46" s="108">
        <f t="shared" si="23"/>
        <v>1.5768992641913981</v>
      </c>
      <c r="AJ46" s="108">
        <f t="shared" si="23"/>
        <v>1.6084372494752261</v>
      </c>
      <c r="AK46" s="108">
        <f t="shared" si="23"/>
        <v>1.6406059944647307</v>
      </c>
      <c r="AL46" s="108">
        <f t="shared" si="23"/>
        <v>1.6734181143540252</v>
      </c>
      <c r="AM46" s="108">
        <f t="shared" si="23"/>
        <v>1.7068864766411058</v>
      </c>
      <c r="AN46" s="108">
        <f t="shared" si="23"/>
        <v>1.7410242061739281</v>
      </c>
      <c r="AO46" s="108">
        <f t="shared" si="23"/>
        <v>1.7758446902974065</v>
      </c>
      <c r="AP46" s="108">
        <f t="shared" si="23"/>
        <v>1.8113615841033548</v>
      </c>
      <c r="AQ46" s="108">
        <f t="shared" si="23"/>
        <v>1.8475888157854219</v>
      </c>
      <c r="AR46" s="108">
        <f t="shared" si="23"/>
        <v>1.8845405921011305</v>
      </c>
      <c r="AS46" s="108">
        <f t="shared" si="23"/>
        <v>1.9222314039431532</v>
      </c>
      <c r="AT46" s="108">
        <f t="shared" si="23"/>
        <v>1.9606760320220162</v>
      </c>
      <c r="AU46" s="108">
        <f t="shared" si="23"/>
        <v>1.9998895526624565</v>
      </c>
    </row>
    <row r="47" spans="2:47" x14ac:dyDescent="0.35">
      <c r="D47" s="8" t="str">
        <f>Input!D42</f>
        <v>Negative pricing co-efficient</v>
      </c>
      <c r="E47" s="79">
        <f>Input!E42</f>
        <v>0.05</v>
      </c>
      <c r="K47" s="35">
        <f t="shared" si="22"/>
        <v>0.05</v>
      </c>
      <c r="L47" s="35">
        <f t="shared" si="21"/>
        <v>0.05</v>
      </c>
      <c r="M47" s="35">
        <f t="shared" si="21"/>
        <v>0.05</v>
      </c>
      <c r="N47" s="35">
        <f t="shared" si="21"/>
        <v>0.05</v>
      </c>
      <c r="O47" s="35">
        <f t="shared" si="21"/>
        <v>0.05</v>
      </c>
      <c r="P47" s="35">
        <f t="shared" si="21"/>
        <v>0.05</v>
      </c>
      <c r="Q47" s="35">
        <f t="shared" si="21"/>
        <v>0.05</v>
      </c>
      <c r="R47" s="35">
        <f t="shared" si="21"/>
        <v>0.05</v>
      </c>
      <c r="S47" s="35">
        <f t="shared" si="21"/>
        <v>0.05</v>
      </c>
      <c r="T47" s="35">
        <f t="shared" si="21"/>
        <v>0.05</v>
      </c>
      <c r="U47" s="35">
        <f t="shared" si="21"/>
        <v>0.05</v>
      </c>
      <c r="V47" s="35">
        <f t="shared" si="21"/>
        <v>0.05</v>
      </c>
      <c r="W47" s="35">
        <f t="shared" si="21"/>
        <v>0.05</v>
      </c>
      <c r="X47" s="35">
        <f t="shared" si="21"/>
        <v>0.05</v>
      </c>
      <c r="Y47" s="35">
        <f t="shared" si="21"/>
        <v>0.05</v>
      </c>
      <c r="Z47" s="35">
        <f t="shared" si="21"/>
        <v>0.05</v>
      </c>
      <c r="AA47" s="35">
        <f t="shared" si="21"/>
        <v>0.05</v>
      </c>
      <c r="AB47" s="35">
        <f t="shared" si="21"/>
        <v>0.05</v>
      </c>
      <c r="AC47" s="35">
        <f t="shared" si="21"/>
        <v>0.05</v>
      </c>
      <c r="AD47" s="35">
        <f t="shared" si="21"/>
        <v>0.05</v>
      </c>
      <c r="AE47" s="35">
        <f t="shared" si="21"/>
        <v>0.05</v>
      </c>
      <c r="AF47" s="35">
        <f t="shared" si="21"/>
        <v>0.05</v>
      </c>
      <c r="AG47" s="35">
        <f t="shared" si="21"/>
        <v>0.05</v>
      </c>
      <c r="AH47" s="35">
        <f t="shared" si="21"/>
        <v>0.05</v>
      </c>
      <c r="AI47" s="35">
        <f t="shared" si="21"/>
        <v>0.05</v>
      </c>
      <c r="AJ47" s="35">
        <f t="shared" si="21"/>
        <v>0.05</v>
      </c>
      <c r="AK47" s="35">
        <f t="shared" si="21"/>
        <v>0.05</v>
      </c>
      <c r="AL47" s="35">
        <f t="shared" si="21"/>
        <v>0.05</v>
      </c>
      <c r="AM47" s="35">
        <f t="shared" si="21"/>
        <v>0.05</v>
      </c>
      <c r="AN47" s="35">
        <f t="shared" si="21"/>
        <v>0.05</v>
      </c>
      <c r="AO47" s="35">
        <f t="shared" si="21"/>
        <v>0.05</v>
      </c>
      <c r="AP47" s="35">
        <f t="shared" si="21"/>
        <v>0.05</v>
      </c>
      <c r="AQ47" s="35">
        <f t="shared" si="21"/>
        <v>0.05</v>
      </c>
      <c r="AR47" s="35">
        <f t="shared" si="21"/>
        <v>0.05</v>
      </c>
      <c r="AS47" s="35">
        <f t="shared" si="21"/>
        <v>0.05</v>
      </c>
      <c r="AT47" s="35">
        <f t="shared" si="21"/>
        <v>0.05</v>
      </c>
      <c r="AU47" s="35">
        <f t="shared" si="21"/>
        <v>0.05</v>
      </c>
    </row>
    <row r="48" spans="2:47" x14ac:dyDescent="0.35">
      <c r="D48" s="3" t="s">
        <v>160</v>
      </c>
      <c r="E48" s="23"/>
      <c r="F48" s="23"/>
      <c r="G48" s="23"/>
      <c r="H48" s="23"/>
      <c r="I48" s="23" t="s">
        <v>114</v>
      </c>
      <c r="J48" s="23"/>
      <c r="K48" s="40">
        <f t="shared" ref="K48:AU48" si="24">K43*K44*K46*(1-K47)</f>
        <v>0</v>
      </c>
      <c r="L48" s="40">
        <f t="shared" si="24"/>
        <v>5413427.7119999994</v>
      </c>
      <c r="M48" s="40">
        <f t="shared" si="24"/>
        <v>5494087.7849087995</v>
      </c>
      <c r="N48" s="40">
        <f t="shared" si="24"/>
        <v>5575949.6929039396</v>
      </c>
      <c r="O48" s="40">
        <f t="shared" si="24"/>
        <v>5659031.3433282096</v>
      </c>
      <c r="P48" s="40">
        <f t="shared" si="24"/>
        <v>5743350.9103437997</v>
      </c>
      <c r="Q48" s="40">
        <f t="shared" si="24"/>
        <v>5828926.8389079217</v>
      </c>
      <c r="R48" s="40">
        <f t="shared" si="24"/>
        <v>5915777.8488076506</v>
      </c>
      <c r="S48" s="40">
        <f t="shared" si="24"/>
        <v>6003922.9387548855</v>
      </c>
      <c r="T48" s="40">
        <f t="shared" si="24"/>
        <v>6093381.390542333</v>
      </c>
      <c r="U48" s="40">
        <f t="shared" si="24"/>
        <v>6184172.773261413</v>
      </c>
      <c r="V48" s="40">
        <f t="shared" si="24"/>
        <v>17932334.135951456</v>
      </c>
      <c r="W48" s="40">
        <f t="shared" si="24"/>
        <v>18199525.914577127</v>
      </c>
      <c r="X48" s="40">
        <f t="shared" si="24"/>
        <v>18470698.850704327</v>
      </c>
      <c r="Y48" s="40">
        <f t="shared" si="24"/>
        <v>18745912.263579823</v>
      </c>
      <c r="Z48" s="40">
        <f t="shared" si="24"/>
        <v>19025226.356307164</v>
      </c>
      <c r="AA48" s="40">
        <f t="shared" si="24"/>
        <v>19308702.22901614</v>
      </c>
      <c r="AB48" s="40">
        <f t="shared" si="24"/>
        <v>19596401.892228484</v>
      </c>
      <c r="AC48" s="40">
        <f t="shared" si="24"/>
        <v>19888388.280422691</v>
      </c>
      <c r="AD48" s="40">
        <f t="shared" si="24"/>
        <v>20184725.265800983</v>
      </c>
      <c r="AE48" s="40">
        <f t="shared" si="24"/>
        <v>20485477.672261421</v>
      </c>
      <c r="AF48" s="40">
        <f t="shared" si="24"/>
        <v>20790711.289578117</v>
      </c>
      <c r="AG48" s="40">
        <f t="shared" si="24"/>
        <v>21100492.887792833</v>
      </c>
      <c r="AH48" s="40">
        <f t="shared" si="24"/>
        <v>21414890.231820941</v>
      </c>
      <c r="AI48" s="40">
        <f t="shared" si="24"/>
        <v>21733972.096275073</v>
      </c>
      <c r="AJ48" s="40">
        <f t="shared" si="24"/>
        <v>22057808.280509572</v>
      </c>
      <c r="AK48" s="40">
        <f t="shared" si="24"/>
        <v>22386469.623889171</v>
      </c>
      <c r="AL48" s="40">
        <f t="shared" si="24"/>
        <v>22720028.02128512</v>
      </c>
      <c r="AM48" s="40">
        <f t="shared" si="24"/>
        <v>23058556.438802272</v>
      </c>
      <c r="AN48" s="40">
        <f t="shared" si="24"/>
        <v>23402128.929740425</v>
      </c>
      <c r="AO48" s="40">
        <f t="shared" si="24"/>
        <v>23750820.650793552</v>
      </c>
      <c r="AP48" s="40">
        <f t="shared" si="24"/>
        <v>24104707.878490381</v>
      </c>
      <c r="AQ48" s="40">
        <f t="shared" si="24"/>
        <v>24463868.02587989</v>
      </c>
      <c r="AR48" s="40">
        <f t="shared" si="24"/>
        <v>24828379.659465499</v>
      </c>
      <c r="AS48" s="40">
        <f t="shared" si="24"/>
        <v>25198322.516391538</v>
      </c>
      <c r="AT48" s="40">
        <f t="shared" si="24"/>
        <v>25573777.521885771</v>
      </c>
      <c r="AU48" s="40">
        <f t="shared" si="24"/>
        <v>0</v>
      </c>
    </row>
    <row r="50" spans="1:47" x14ac:dyDescent="0.35">
      <c r="D50" s="39" t="s">
        <v>41</v>
      </c>
      <c r="E50" s="18"/>
      <c r="F50" s="18"/>
      <c r="G50" s="18"/>
      <c r="H50" s="18"/>
      <c r="I50" s="18" t="s">
        <v>114</v>
      </c>
      <c r="J50" s="18"/>
      <c r="K50" s="62">
        <f t="shared" ref="K50:AU50" si="25">SUM(K40,K48)</f>
        <v>0</v>
      </c>
      <c r="L50" s="62">
        <f t="shared" si="25"/>
        <v>19844301.311999999</v>
      </c>
      <c r="M50" s="62">
        <f t="shared" si="25"/>
        <v>19852807.016908802</v>
      </c>
      <c r="N50" s="62">
        <f t="shared" si="25"/>
        <v>19862875.328743938</v>
      </c>
      <c r="O50" s="62">
        <f t="shared" si="25"/>
        <v>19874522.35098901</v>
      </c>
      <c r="P50" s="62">
        <f t="shared" si="25"/>
        <v>19887764.462966301</v>
      </c>
      <c r="Q50" s="62">
        <f t="shared" si="25"/>
        <v>19902618.323767308</v>
      </c>
      <c r="R50" s="62">
        <f t="shared" si="25"/>
        <v>19919100.876242738</v>
      </c>
      <c r="S50" s="62">
        <f t="shared" si="25"/>
        <v>19937229.351052802</v>
      </c>
      <c r="T50" s="62">
        <f t="shared" si="25"/>
        <v>19957021.270778757</v>
      </c>
      <c r="U50" s="62">
        <f t="shared" si="25"/>
        <v>19978494.454096653</v>
      </c>
      <c r="V50" s="62">
        <f t="shared" si="25"/>
        <v>17932334.135951456</v>
      </c>
      <c r="W50" s="62">
        <f t="shared" si="25"/>
        <v>18199525.914577127</v>
      </c>
      <c r="X50" s="62">
        <f t="shared" si="25"/>
        <v>18470698.850704327</v>
      </c>
      <c r="Y50" s="62">
        <f t="shared" si="25"/>
        <v>18745912.263579823</v>
      </c>
      <c r="Z50" s="62">
        <f t="shared" si="25"/>
        <v>19025226.356307164</v>
      </c>
      <c r="AA50" s="62">
        <f t="shared" si="25"/>
        <v>19308702.22901614</v>
      </c>
      <c r="AB50" s="62">
        <f t="shared" si="25"/>
        <v>19596401.892228484</v>
      </c>
      <c r="AC50" s="62">
        <f t="shared" si="25"/>
        <v>19888388.280422691</v>
      </c>
      <c r="AD50" s="62">
        <f t="shared" si="25"/>
        <v>20184725.265800983</v>
      </c>
      <c r="AE50" s="62">
        <f t="shared" si="25"/>
        <v>20485477.672261421</v>
      </c>
      <c r="AF50" s="62">
        <f t="shared" si="25"/>
        <v>20790711.289578117</v>
      </c>
      <c r="AG50" s="62">
        <f t="shared" si="25"/>
        <v>21100492.887792833</v>
      </c>
      <c r="AH50" s="62">
        <f t="shared" si="25"/>
        <v>21414890.231820941</v>
      </c>
      <c r="AI50" s="62">
        <f t="shared" si="25"/>
        <v>21733972.096275073</v>
      </c>
      <c r="AJ50" s="62">
        <f t="shared" si="25"/>
        <v>22057808.280509572</v>
      </c>
      <c r="AK50" s="62">
        <f t="shared" si="25"/>
        <v>22386469.623889171</v>
      </c>
      <c r="AL50" s="62">
        <f t="shared" si="25"/>
        <v>22720028.02128512</v>
      </c>
      <c r="AM50" s="62">
        <f t="shared" si="25"/>
        <v>23058556.438802272</v>
      </c>
      <c r="AN50" s="62">
        <f t="shared" si="25"/>
        <v>23402128.929740425</v>
      </c>
      <c r="AO50" s="62">
        <f t="shared" si="25"/>
        <v>23750820.650793552</v>
      </c>
      <c r="AP50" s="62">
        <f t="shared" si="25"/>
        <v>24104707.878490381</v>
      </c>
      <c r="AQ50" s="62">
        <f t="shared" si="25"/>
        <v>24463868.02587989</v>
      </c>
      <c r="AR50" s="62">
        <f t="shared" si="25"/>
        <v>24828379.659465499</v>
      </c>
      <c r="AS50" s="62">
        <f t="shared" si="25"/>
        <v>25198322.516391538</v>
      </c>
      <c r="AT50" s="62">
        <f t="shared" si="25"/>
        <v>25573777.521885771</v>
      </c>
      <c r="AU50" s="86">
        <f t="shared" si="25"/>
        <v>0</v>
      </c>
    </row>
    <row r="52" spans="1:47" x14ac:dyDescent="0.35">
      <c r="B52" s="1" t="s">
        <v>39</v>
      </c>
    </row>
    <row r="53" spans="1:47" x14ac:dyDescent="0.35">
      <c r="D53" s="8" t="str">
        <f>Input!D46</f>
        <v>Fixed OPEX &amp; AEMO fees</v>
      </c>
      <c r="E53" s="17">
        <f>Input!E46</f>
        <v>4800000</v>
      </c>
      <c r="I53" s="16" t="s">
        <v>114</v>
      </c>
      <c r="K53" s="38">
        <f t="shared" ref="K53:AU53" si="26">$E53 * K21</f>
        <v>0</v>
      </c>
      <c r="L53" s="38">
        <f t="shared" si="26"/>
        <v>4800000</v>
      </c>
      <c r="M53" s="38">
        <f t="shared" si="26"/>
        <v>4800000</v>
      </c>
      <c r="N53" s="38">
        <f t="shared" si="26"/>
        <v>4800000</v>
      </c>
      <c r="O53" s="38">
        <f t="shared" si="26"/>
        <v>4800000</v>
      </c>
      <c r="P53" s="38">
        <f t="shared" si="26"/>
        <v>4800000</v>
      </c>
      <c r="Q53" s="38">
        <f t="shared" si="26"/>
        <v>4800000</v>
      </c>
      <c r="R53" s="38">
        <f t="shared" si="26"/>
        <v>4800000</v>
      </c>
      <c r="S53" s="38">
        <f t="shared" si="26"/>
        <v>4800000</v>
      </c>
      <c r="T53" s="38">
        <f t="shared" si="26"/>
        <v>4800000</v>
      </c>
      <c r="U53" s="38">
        <f t="shared" si="26"/>
        <v>4800000</v>
      </c>
      <c r="V53" s="38">
        <f t="shared" si="26"/>
        <v>4800000</v>
      </c>
      <c r="W53" s="38">
        <f t="shared" si="26"/>
        <v>4800000</v>
      </c>
      <c r="X53" s="38">
        <f t="shared" si="26"/>
        <v>4800000</v>
      </c>
      <c r="Y53" s="38">
        <f t="shared" si="26"/>
        <v>4800000</v>
      </c>
      <c r="Z53" s="38">
        <f t="shared" si="26"/>
        <v>4800000</v>
      </c>
      <c r="AA53" s="38">
        <f t="shared" si="26"/>
        <v>4800000</v>
      </c>
      <c r="AB53" s="38">
        <f t="shared" si="26"/>
        <v>4800000</v>
      </c>
      <c r="AC53" s="38">
        <f t="shared" si="26"/>
        <v>4800000</v>
      </c>
      <c r="AD53" s="38">
        <f t="shared" si="26"/>
        <v>4800000</v>
      </c>
      <c r="AE53" s="38">
        <f t="shared" si="26"/>
        <v>4800000</v>
      </c>
      <c r="AF53" s="38">
        <f t="shared" si="26"/>
        <v>4800000</v>
      </c>
      <c r="AG53" s="38">
        <f t="shared" si="26"/>
        <v>4800000</v>
      </c>
      <c r="AH53" s="38">
        <f t="shared" si="26"/>
        <v>4800000</v>
      </c>
      <c r="AI53" s="38">
        <f t="shared" si="26"/>
        <v>4800000</v>
      </c>
      <c r="AJ53" s="38">
        <f t="shared" si="26"/>
        <v>4800000</v>
      </c>
      <c r="AK53" s="38">
        <f t="shared" si="26"/>
        <v>4800000</v>
      </c>
      <c r="AL53" s="38">
        <f t="shared" si="26"/>
        <v>4800000</v>
      </c>
      <c r="AM53" s="38">
        <f t="shared" si="26"/>
        <v>4800000</v>
      </c>
      <c r="AN53" s="38">
        <f t="shared" si="26"/>
        <v>4800000</v>
      </c>
      <c r="AO53" s="38">
        <f t="shared" si="26"/>
        <v>4800000</v>
      </c>
      <c r="AP53" s="38">
        <f t="shared" si="26"/>
        <v>4800000</v>
      </c>
      <c r="AQ53" s="38">
        <f t="shared" si="26"/>
        <v>4800000</v>
      </c>
      <c r="AR53" s="38">
        <f t="shared" si="26"/>
        <v>4800000</v>
      </c>
      <c r="AS53" s="38">
        <f t="shared" si="26"/>
        <v>4800000</v>
      </c>
      <c r="AT53" s="38">
        <f t="shared" si="26"/>
        <v>4800000</v>
      </c>
      <c r="AU53" s="38">
        <f t="shared" si="26"/>
        <v>0</v>
      </c>
    </row>
    <row r="54" spans="1:47" x14ac:dyDescent="0.35">
      <c r="D54" s="8" t="str">
        <f>Input!D47</f>
        <v>Operating expense escalation</v>
      </c>
      <c r="E54" s="79">
        <f>Input!E47</f>
        <v>2.5000000000000001E-2</v>
      </c>
      <c r="K54" s="35">
        <f>$E54</f>
        <v>2.5000000000000001E-2</v>
      </c>
      <c r="L54" s="35">
        <f t="shared" ref="L54:AU54" si="27">$E54</f>
        <v>2.5000000000000001E-2</v>
      </c>
      <c r="M54" s="35">
        <f t="shared" si="27"/>
        <v>2.5000000000000001E-2</v>
      </c>
      <c r="N54" s="35">
        <f t="shared" si="27"/>
        <v>2.5000000000000001E-2</v>
      </c>
      <c r="O54" s="35">
        <f t="shared" si="27"/>
        <v>2.5000000000000001E-2</v>
      </c>
      <c r="P54" s="35">
        <f t="shared" si="27"/>
        <v>2.5000000000000001E-2</v>
      </c>
      <c r="Q54" s="35">
        <f t="shared" si="27"/>
        <v>2.5000000000000001E-2</v>
      </c>
      <c r="R54" s="35">
        <f t="shared" si="27"/>
        <v>2.5000000000000001E-2</v>
      </c>
      <c r="S54" s="35">
        <f t="shared" si="27"/>
        <v>2.5000000000000001E-2</v>
      </c>
      <c r="T54" s="35">
        <f t="shared" si="27"/>
        <v>2.5000000000000001E-2</v>
      </c>
      <c r="U54" s="35">
        <f t="shared" si="27"/>
        <v>2.5000000000000001E-2</v>
      </c>
      <c r="V54" s="35">
        <f t="shared" si="27"/>
        <v>2.5000000000000001E-2</v>
      </c>
      <c r="W54" s="35">
        <f t="shared" si="27"/>
        <v>2.5000000000000001E-2</v>
      </c>
      <c r="X54" s="35">
        <f t="shared" si="27"/>
        <v>2.5000000000000001E-2</v>
      </c>
      <c r="Y54" s="35">
        <f t="shared" si="27"/>
        <v>2.5000000000000001E-2</v>
      </c>
      <c r="Z54" s="35">
        <f t="shared" si="27"/>
        <v>2.5000000000000001E-2</v>
      </c>
      <c r="AA54" s="35">
        <f t="shared" si="27"/>
        <v>2.5000000000000001E-2</v>
      </c>
      <c r="AB54" s="35">
        <f t="shared" si="27"/>
        <v>2.5000000000000001E-2</v>
      </c>
      <c r="AC54" s="35">
        <f t="shared" si="27"/>
        <v>2.5000000000000001E-2</v>
      </c>
      <c r="AD54" s="35">
        <f t="shared" si="27"/>
        <v>2.5000000000000001E-2</v>
      </c>
      <c r="AE54" s="35">
        <f t="shared" si="27"/>
        <v>2.5000000000000001E-2</v>
      </c>
      <c r="AF54" s="35">
        <f t="shared" si="27"/>
        <v>2.5000000000000001E-2</v>
      </c>
      <c r="AG54" s="35">
        <f t="shared" si="27"/>
        <v>2.5000000000000001E-2</v>
      </c>
      <c r="AH54" s="35">
        <f t="shared" si="27"/>
        <v>2.5000000000000001E-2</v>
      </c>
      <c r="AI54" s="35">
        <f t="shared" si="27"/>
        <v>2.5000000000000001E-2</v>
      </c>
      <c r="AJ54" s="35">
        <f t="shared" si="27"/>
        <v>2.5000000000000001E-2</v>
      </c>
      <c r="AK54" s="35">
        <f t="shared" si="27"/>
        <v>2.5000000000000001E-2</v>
      </c>
      <c r="AL54" s="35">
        <f t="shared" si="27"/>
        <v>2.5000000000000001E-2</v>
      </c>
      <c r="AM54" s="35">
        <f t="shared" si="27"/>
        <v>2.5000000000000001E-2</v>
      </c>
      <c r="AN54" s="35">
        <f t="shared" si="27"/>
        <v>2.5000000000000001E-2</v>
      </c>
      <c r="AO54" s="35">
        <f t="shared" si="27"/>
        <v>2.5000000000000001E-2</v>
      </c>
      <c r="AP54" s="35">
        <f t="shared" si="27"/>
        <v>2.5000000000000001E-2</v>
      </c>
      <c r="AQ54" s="35">
        <f t="shared" si="27"/>
        <v>2.5000000000000001E-2</v>
      </c>
      <c r="AR54" s="35">
        <f t="shared" si="27"/>
        <v>2.5000000000000001E-2</v>
      </c>
      <c r="AS54" s="35">
        <f t="shared" si="27"/>
        <v>2.5000000000000001E-2</v>
      </c>
      <c r="AT54" s="35">
        <f t="shared" si="27"/>
        <v>2.5000000000000001E-2</v>
      </c>
      <c r="AU54" s="35">
        <f t="shared" si="27"/>
        <v>2.5000000000000001E-2</v>
      </c>
    </row>
    <row r="55" spans="1:47" x14ac:dyDescent="0.35">
      <c r="B55" s="2"/>
      <c r="D55" s="2" t="s">
        <v>161</v>
      </c>
      <c r="E55" s="97"/>
      <c r="K55" s="108">
        <f>IF(K$20=1, 1, J55*(1+K54))</f>
        <v>0</v>
      </c>
      <c r="L55" s="108">
        <f t="shared" ref="L55" si="28">IF(L$20=1, 1, K55*(1+L54))</f>
        <v>1</v>
      </c>
      <c r="M55" s="108">
        <f t="shared" ref="M55" si="29">IF(M$20=1, 1, L55*(1+M54))</f>
        <v>1.0249999999999999</v>
      </c>
      <c r="N55" s="108">
        <f t="shared" ref="N55" si="30">IF(N$20=1, 1, M55*(1+N54))</f>
        <v>1.0506249999999999</v>
      </c>
      <c r="O55" s="108">
        <f t="shared" ref="O55" si="31">IF(O$20=1, 1, N55*(1+O54))</f>
        <v>1.0768906249999999</v>
      </c>
      <c r="P55" s="108">
        <f t="shared" ref="P55" si="32">IF(P$20=1, 1, O55*(1+P54))</f>
        <v>1.1038128906249998</v>
      </c>
      <c r="Q55" s="108">
        <f t="shared" ref="Q55" si="33">IF(Q$20=1, 1, P55*(1+Q54))</f>
        <v>1.1314082128906247</v>
      </c>
      <c r="R55" s="108">
        <f t="shared" ref="R55" si="34">IF(R$20=1, 1, Q55*(1+R54))</f>
        <v>1.1596934182128902</v>
      </c>
      <c r="S55" s="108">
        <f t="shared" ref="S55" si="35">IF(S$20=1, 1, R55*(1+S54))</f>
        <v>1.1886857536682123</v>
      </c>
      <c r="T55" s="108">
        <f t="shared" ref="T55" si="36">IF(T$20=1, 1, S55*(1+T54))</f>
        <v>1.2184028975099175</v>
      </c>
      <c r="U55" s="108">
        <f t="shared" ref="U55" si="37">IF(U$20=1, 1, T55*(1+U54))</f>
        <v>1.2488629699476652</v>
      </c>
      <c r="V55" s="108">
        <f t="shared" ref="V55" si="38">IF(V$20=1, 1, U55*(1+V54))</f>
        <v>1.2800845441963566</v>
      </c>
      <c r="W55" s="108">
        <f t="shared" ref="W55" si="39">IF(W$20=1, 1, V55*(1+W54))</f>
        <v>1.3120866578012655</v>
      </c>
      <c r="X55" s="108">
        <f t="shared" ref="X55" si="40">IF(X$20=1, 1, W55*(1+X54))</f>
        <v>1.3448888242462971</v>
      </c>
      <c r="Y55" s="108">
        <f t="shared" ref="Y55" si="41">IF(Y$20=1, 1, X55*(1+Y54))</f>
        <v>1.3785110448524545</v>
      </c>
      <c r="Z55" s="108">
        <f t="shared" ref="Z55" si="42">IF(Z$20=1, 1, Y55*(1+Z54))</f>
        <v>1.4129738209737657</v>
      </c>
      <c r="AA55" s="108">
        <f t="shared" ref="AA55" si="43">IF(AA$20=1, 1, Z55*(1+AA54))</f>
        <v>1.4482981664981096</v>
      </c>
      <c r="AB55" s="108">
        <f t="shared" ref="AB55" si="44">IF(AB$20=1, 1, AA55*(1+AB54))</f>
        <v>1.4845056206605622</v>
      </c>
      <c r="AC55" s="108">
        <f t="shared" ref="AC55" si="45">IF(AC$20=1, 1, AB55*(1+AC54))</f>
        <v>1.5216182611770761</v>
      </c>
      <c r="AD55" s="108">
        <f t="shared" ref="AD55" si="46">IF(AD$20=1, 1, AC55*(1+AD54))</f>
        <v>1.5596587177065029</v>
      </c>
      <c r="AE55" s="108">
        <f t="shared" ref="AE55" si="47">IF(AE$20=1, 1, AD55*(1+AE54))</f>
        <v>1.5986501856491653</v>
      </c>
      <c r="AF55" s="108">
        <f t="shared" ref="AF55" si="48">IF(AF$20=1, 1, AE55*(1+AF54))</f>
        <v>1.6386164402903942</v>
      </c>
      <c r="AG55" s="108">
        <f t="shared" ref="AG55" si="49">IF(AG$20=1, 1, AF55*(1+AG54))</f>
        <v>1.6795818512976539</v>
      </c>
      <c r="AH55" s="108">
        <f t="shared" ref="AH55" si="50">IF(AH$20=1, 1, AG55*(1+AH54))</f>
        <v>1.721571397580095</v>
      </c>
      <c r="AI55" s="108">
        <f t="shared" ref="AI55" si="51">IF(AI$20=1, 1, AH55*(1+AI54))</f>
        <v>1.7646106825195973</v>
      </c>
      <c r="AJ55" s="108">
        <f t="shared" ref="AJ55" si="52">IF(AJ$20=1, 1, AI55*(1+AJ54))</f>
        <v>1.8087259495825871</v>
      </c>
      <c r="AK55" s="108">
        <f t="shared" ref="AK55" si="53">IF(AK$20=1, 1, AJ55*(1+AK54))</f>
        <v>1.8539440983221516</v>
      </c>
      <c r="AL55" s="108">
        <f t="shared" ref="AL55" si="54">IF(AL$20=1, 1, AK55*(1+AL54))</f>
        <v>1.9002927007802053</v>
      </c>
      <c r="AM55" s="108">
        <f t="shared" ref="AM55" si="55">IF(AM$20=1, 1, AL55*(1+AM54))</f>
        <v>1.9478000182997102</v>
      </c>
      <c r="AN55" s="108">
        <f t="shared" ref="AN55" si="56">IF(AN$20=1, 1, AM55*(1+AN54))</f>
        <v>1.9964950187572028</v>
      </c>
      <c r="AO55" s="108">
        <f t="shared" ref="AO55" si="57">IF(AO$20=1, 1, AN55*(1+AO54))</f>
        <v>2.0464073942261325</v>
      </c>
      <c r="AP55" s="108">
        <f t="shared" ref="AP55" si="58">IF(AP$20=1, 1, AO55*(1+AP54))</f>
        <v>2.0975675790817858</v>
      </c>
      <c r="AQ55" s="108">
        <f t="shared" ref="AQ55" si="59">IF(AQ$20=1, 1, AP55*(1+AQ54))</f>
        <v>2.1500067685588302</v>
      </c>
      <c r="AR55" s="108">
        <f t="shared" ref="AR55" si="60">IF(AR$20=1, 1, AQ55*(1+AR54))</f>
        <v>2.2037569377728006</v>
      </c>
      <c r="AS55" s="108">
        <f t="shared" ref="AS55" si="61">IF(AS$20=1, 1, AR55*(1+AS54))</f>
        <v>2.2588508612171205</v>
      </c>
      <c r="AT55" s="108">
        <f t="shared" ref="AT55" si="62">IF(AT$20=1, 1, AS55*(1+AT54))</f>
        <v>2.3153221327475482</v>
      </c>
      <c r="AU55" s="108">
        <f t="shared" ref="AU55" si="63">IF(AU$20=1, 1, AT55*(1+AU54))</f>
        <v>2.3732051860662366</v>
      </c>
    </row>
    <row r="56" spans="1:47" x14ac:dyDescent="0.35">
      <c r="D56" s="39" t="s">
        <v>5</v>
      </c>
      <c r="E56" s="18"/>
      <c r="F56" s="18"/>
      <c r="G56" s="18"/>
      <c r="H56" s="18"/>
      <c r="I56" s="18" t="s">
        <v>114</v>
      </c>
      <c r="J56" s="18"/>
      <c r="K56" s="62">
        <f>K53*K55</f>
        <v>0</v>
      </c>
      <c r="L56" s="62">
        <f t="shared" ref="L56:AU56" si="64">L53*L55</f>
        <v>4800000</v>
      </c>
      <c r="M56" s="62">
        <f t="shared" si="64"/>
        <v>4920000</v>
      </c>
      <c r="N56" s="62">
        <f t="shared" si="64"/>
        <v>5043000</v>
      </c>
      <c r="O56" s="62">
        <f t="shared" si="64"/>
        <v>5169074.9999999991</v>
      </c>
      <c r="P56" s="62">
        <f t="shared" si="64"/>
        <v>5298301.8749999991</v>
      </c>
      <c r="Q56" s="62">
        <f t="shared" si="64"/>
        <v>5430759.4218749981</v>
      </c>
      <c r="R56" s="62">
        <f t="shared" si="64"/>
        <v>5566528.407421873</v>
      </c>
      <c r="S56" s="62">
        <f t="shared" si="64"/>
        <v>5705691.6176074194</v>
      </c>
      <c r="T56" s="62">
        <f t="shared" si="64"/>
        <v>5848333.9080476044</v>
      </c>
      <c r="U56" s="62">
        <f t="shared" si="64"/>
        <v>5994542.2557487935</v>
      </c>
      <c r="V56" s="62">
        <f t="shared" si="64"/>
        <v>6144405.8121425118</v>
      </c>
      <c r="W56" s="62">
        <f t="shared" si="64"/>
        <v>6298015.957446075</v>
      </c>
      <c r="X56" s="62">
        <f t="shared" si="64"/>
        <v>6455466.3563822256</v>
      </c>
      <c r="Y56" s="62">
        <f t="shared" si="64"/>
        <v>6616853.0152917812</v>
      </c>
      <c r="Z56" s="62">
        <f t="shared" si="64"/>
        <v>6782274.3406740753</v>
      </c>
      <c r="AA56" s="62">
        <f t="shared" si="64"/>
        <v>6951831.1991909258</v>
      </c>
      <c r="AB56" s="62">
        <f t="shared" si="64"/>
        <v>7125626.9791706987</v>
      </c>
      <c r="AC56" s="62">
        <f t="shared" si="64"/>
        <v>7303767.6536499653</v>
      </c>
      <c r="AD56" s="62">
        <f t="shared" si="64"/>
        <v>7486361.8449912136</v>
      </c>
      <c r="AE56" s="62">
        <f t="shared" si="64"/>
        <v>7673520.8911159933</v>
      </c>
      <c r="AF56" s="62">
        <f t="shared" si="64"/>
        <v>7865358.9133938923</v>
      </c>
      <c r="AG56" s="62">
        <f t="shared" si="64"/>
        <v>8061992.8862287384</v>
      </c>
      <c r="AH56" s="62">
        <f t="shared" si="64"/>
        <v>8263542.7083844561</v>
      </c>
      <c r="AI56" s="62">
        <f t="shared" si="64"/>
        <v>8470131.2760940678</v>
      </c>
      <c r="AJ56" s="62">
        <f t="shared" si="64"/>
        <v>8681884.5579964183</v>
      </c>
      <c r="AK56" s="62">
        <f t="shared" si="64"/>
        <v>8898931.6719463281</v>
      </c>
      <c r="AL56" s="62">
        <f t="shared" si="64"/>
        <v>9121404.9637449849</v>
      </c>
      <c r="AM56" s="62">
        <f t="shared" si="64"/>
        <v>9349440.0878386088</v>
      </c>
      <c r="AN56" s="62">
        <f t="shared" si="64"/>
        <v>9583176.0900345743</v>
      </c>
      <c r="AO56" s="62">
        <f t="shared" si="64"/>
        <v>9822755.492285436</v>
      </c>
      <c r="AP56" s="62">
        <f t="shared" si="64"/>
        <v>10068324.379592571</v>
      </c>
      <c r="AQ56" s="62">
        <f t="shared" si="64"/>
        <v>10320032.489082385</v>
      </c>
      <c r="AR56" s="62">
        <f t="shared" si="64"/>
        <v>10578033.301309442</v>
      </c>
      <c r="AS56" s="62">
        <f t="shared" si="64"/>
        <v>10842484.133842178</v>
      </c>
      <c r="AT56" s="62">
        <f t="shared" si="64"/>
        <v>11113546.237188231</v>
      </c>
      <c r="AU56" s="86">
        <f t="shared" si="64"/>
        <v>0</v>
      </c>
    </row>
    <row r="58" spans="1:47" x14ac:dyDescent="0.35">
      <c r="A58" s="32" t="s">
        <v>23</v>
      </c>
      <c r="B58" s="32"/>
      <c r="C58" s="90"/>
      <c r="D58" s="33"/>
      <c r="E58" s="49"/>
      <c r="F58" s="49"/>
      <c r="G58" s="49"/>
      <c r="H58" s="49"/>
      <c r="I58" s="49"/>
      <c r="J58" s="49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</row>
    <row r="59" spans="1:47" x14ac:dyDescent="0.35">
      <c r="D59" s="8" t="str">
        <f>D14</f>
        <v>Operating period flag</v>
      </c>
      <c r="J59" s="61"/>
      <c r="K59" s="38">
        <f t="shared" ref="K59:AU59" si="65">K14</f>
        <v>0</v>
      </c>
      <c r="L59" s="38">
        <f t="shared" si="65"/>
        <v>1</v>
      </c>
      <c r="M59" s="38">
        <f t="shared" si="65"/>
        <v>1</v>
      </c>
      <c r="N59" s="38">
        <f t="shared" si="65"/>
        <v>1</v>
      </c>
      <c r="O59" s="38">
        <f t="shared" si="65"/>
        <v>1</v>
      </c>
      <c r="P59" s="38">
        <f t="shared" si="65"/>
        <v>1</v>
      </c>
      <c r="Q59" s="38">
        <f t="shared" si="65"/>
        <v>1</v>
      </c>
      <c r="R59" s="38">
        <f t="shared" si="65"/>
        <v>1</v>
      </c>
      <c r="S59" s="38">
        <f t="shared" si="65"/>
        <v>1</v>
      </c>
      <c r="T59" s="38">
        <f t="shared" si="65"/>
        <v>1</v>
      </c>
      <c r="U59" s="38">
        <f t="shared" si="65"/>
        <v>1</v>
      </c>
      <c r="V59" s="38">
        <f t="shared" si="65"/>
        <v>1</v>
      </c>
      <c r="W59" s="38">
        <f t="shared" si="65"/>
        <v>1</v>
      </c>
      <c r="X59" s="38">
        <f t="shared" si="65"/>
        <v>1</v>
      </c>
      <c r="Y59" s="38">
        <f t="shared" si="65"/>
        <v>1</v>
      </c>
      <c r="Z59" s="38">
        <f t="shared" si="65"/>
        <v>1</v>
      </c>
      <c r="AA59" s="38">
        <f t="shared" si="65"/>
        <v>1</v>
      </c>
      <c r="AB59" s="38">
        <f t="shared" si="65"/>
        <v>1</v>
      </c>
      <c r="AC59" s="38">
        <f t="shared" si="65"/>
        <v>1</v>
      </c>
      <c r="AD59" s="38">
        <f t="shared" si="65"/>
        <v>1</v>
      </c>
      <c r="AE59" s="38">
        <f t="shared" si="65"/>
        <v>1</v>
      </c>
      <c r="AF59" s="38">
        <f t="shared" si="65"/>
        <v>1</v>
      </c>
      <c r="AG59" s="38">
        <f t="shared" si="65"/>
        <v>1</v>
      </c>
      <c r="AH59" s="38">
        <f t="shared" si="65"/>
        <v>1</v>
      </c>
      <c r="AI59" s="38">
        <f t="shared" si="65"/>
        <v>1</v>
      </c>
      <c r="AJ59" s="38">
        <f t="shared" si="65"/>
        <v>1</v>
      </c>
      <c r="AK59" s="38">
        <f t="shared" si="65"/>
        <v>1</v>
      </c>
      <c r="AL59" s="38">
        <f t="shared" si="65"/>
        <v>1</v>
      </c>
      <c r="AM59" s="38">
        <f t="shared" si="65"/>
        <v>1</v>
      </c>
      <c r="AN59" s="38">
        <f t="shared" si="65"/>
        <v>1</v>
      </c>
      <c r="AO59" s="38">
        <f t="shared" si="65"/>
        <v>1</v>
      </c>
      <c r="AP59" s="38">
        <f t="shared" si="65"/>
        <v>1</v>
      </c>
      <c r="AQ59" s="38">
        <f t="shared" si="65"/>
        <v>1</v>
      </c>
      <c r="AR59" s="38">
        <f t="shared" si="65"/>
        <v>1</v>
      </c>
      <c r="AS59" s="38">
        <f t="shared" si="65"/>
        <v>1</v>
      </c>
      <c r="AT59" s="38">
        <f t="shared" si="65"/>
        <v>1</v>
      </c>
      <c r="AU59" s="38">
        <f t="shared" si="65"/>
        <v>0</v>
      </c>
    </row>
    <row r="60" spans="1:47" x14ac:dyDescent="0.35">
      <c r="D60" s="8" t="str">
        <f>D$13</f>
        <v>Construction period flag</v>
      </c>
      <c r="J60" s="61"/>
      <c r="K60" s="38">
        <f>K$13</f>
        <v>1</v>
      </c>
      <c r="L60" s="38">
        <f t="shared" ref="L60:AU60" si="66">L$13</f>
        <v>0</v>
      </c>
      <c r="M60" s="38">
        <f t="shared" si="66"/>
        <v>0</v>
      </c>
      <c r="N60" s="38">
        <f t="shared" si="66"/>
        <v>0</v>
      </c>
      <c r="O60" s="38">
        <f t="shared" si="66"/>
        <v>0</v>
      </c>
      <c r="P60" s="38">
        <f t="shared" si="66"/>
        <v>0</v>
      </c>
      <c r="Q60" s="38">
        <f t="shared" si="66"/>
        <v>0</v>
      </c>
      <c r="R60" s="38">
        <f t="shared" si="66"/>
        <v>0</v>
      </c>
      <c r="S60" s="38">
        <f t="shared" si="66"/>
        <v>0</v>
      </c>
      <c r="T60" s="38">
        <f t="shared" si="66"/>
        <v>0</v>
      </c>
      <c r="U60" s="38">
        <f t="shared" si="66"/>
        <v>0</v>
      </c>
      <c r="V60" s="38">
        <f t="shared" si="66"/>
        <v>0</v>
      </c>
      <c r="W60" s="38">
        <f t="shared" si="66"/>
        <v>0</v>
      </c>
      <c r="X60" s="38">
        <f t="shared" si="66"/>
        <v>0</v>
      </c>
      <c r="Y60" s="38">
        <f t="shared" si="66"/>
        <v>0</v>
      </c>
      <c r="Z60" s="38">
        <f t="shared" si="66"/>
        <v>0</v>
      </c>
      <c r="AA60" s="38">
        <f t="shared" si="66"/>
        <v>0</v>
      </c>
      <c r="AB60" s="38">
        <f t="shared" si="66"/>
        <v>0</v>
      </c>
      <c r="AC60" s="38">
        <f t="shared" si="66"/>
        <v>0</v>
      </c>
      <c r="AD60" s="38">
        <f t="shared" si="66"/>
        <v>0</v>
      </c>
      <c r="AE60" s="38">
        <f t="shared" si="66"/>
        <v>0</v>
      </c>
      <c r="AF60" s="38">
        <f t="shared" si="66"/>
        <v>0</v>
      </c>
      <c r="AG60" s="38">
        <f t="shared" si="66"/>
        <v>0</v>
      </c>
      <c r="AH60" s="38">
        <f t="shared" si="66"/>
        <v>0</v>
      </c>
      <c r="AI60" s="38">
        <f t="shared" si="66"/>
        <v>0</v>
      </c>
      <c r="AJ60" s="38">
        <f t="shared" si="66"/>
        <v>0</v>
      </c>
      <c r="AK60" s="38">
        <f t="shared" si="66"/>
        <v>0</v>
      </c>
      <c r="AL60" s="38">
        <f t="shared" si="66"/>
        <v>0</v>
      </c>
      <c r="AM60" s="38">
        <f t="shared" si="66"/>
        <v>0</v>
      </c>
      <c r="AN60" s="38">
        <f t="shared" si="66"/>
        <v>0</v>
      </c>
      <c r="AO60" s="38">
        <f t="shared" si="66"/>
        <v>0</v>
      </c>
      <c r="AP60" s="38">
        <f t="shared" si="66"/>
        <v>0</v>
      </c>
      <c r="AQ60" s="38">
        <f t="shared" si="66"/>
        <v>0</v>
      </c>
      <c r="AR60" s="38">
        <f t="shared" si="66"/>
        <v>0</v>
      </c>
      <c r="AS60" s="38">
        <f t="shared" si="66"/>
        <v>0</v>
      </c>
      <c r="AT60" s="38">
        <f t="shared" si="66"/>
        <v>0</v>
      </c>
      <c r="AU60" s="38">
        <f t="shared" si="66"/>
        <v>0</v>
      </c>
    </row>
    <row r="61" spans="1:47" x14ac:dyDescent="0.35">
      <c r="D61" s="8" t="str">
        <f>D$9</f>
        <v>COD flag</v>
      </c>
      <c r="K61" s="38">
        <f t="shared" ref="K61:AU61" si="67">K$9</f>
        <v>0</v>
      </c>
      <c r="L61" s="38">
        <f t="shared" si="67"/>
        <v>1</v>
      </c>
      <c r="M61" s="38">
        <f t="shared" si="67"/>
        <v>0</v>
      </c>
      <c r="N61" s="38">
        <f t="shared" si="67"/>
        <v>0</v>
      </c>
      <c r="O61" s="38">
        <f t="shared" si="67"/>
        <v>0</v>
      </c>
      <c r="P61" s="38">
        <f t="shared" si="67"/>
        <v>0</v>
      </c>
      <c r="Q61" s="38">
        <f t="shared" si="67"/>
        <v>0</v>
      </c>
      <c r="R61" s="38">
        <f t="shared" si="67"/>
        <v>0</v>
      </c>
      <c r="S61" s="38">
        <f t="shared" si="67"/>
        <v>0</v>
      </c>
      <c r="T61" s="38">
        <f t="shared" si="67"/>
        <v>0</v>
      </c>
      <c r="U61" s="38">
        <f t="shared" si="67"/>
        <v>0</v>
      </c>
      <c r="V61" s="38">
        <f t="shared" si="67"/>
        <v>0</v>
      </c>
      <c r="W61" s="38">
        <f t="shared" si="67"/>
        <v>0</v>
      </c>
      <c r="X61" s="38">
        <f t="shared" si="67"/>
        <v>0</v>
      </c>
      <c r="Y61" s="38">
        <f t="shared" si="67"/>
        <v>0</v>
      </c>
      <c r="Z61" s="38">
        <f t="shared" si="67"/>
        <v>0</v>
      </c>
      <c r="AA61" s="38">
        <f t="shared" si="67"/>
        <v>0</v>
      </c>
      <c r="AB61" s="38">
        <f t="shared" si="67"/>
        <v>0</v>
      </c>
      <c r="AC61" s="38">
        <f t="shared" si="67"/>
        <v>0</v>
      </c>
      <c r="AD61" s="38">
        <f t="shared" si="67"/>
        <v>0</v>
      </c>
      <c r="AE61" s="38">
        <f t="shared" si="67"/>
        <v>0</v>
      </c>
      <c r="AF61" s="38">
        <f t="shared" si="67"/>
        <v>0</v>
      </c>
      <c r="AG61" s="38">
        <f t="shared" si="67"/>
        <v>0</v>
      </c>
      <c r="AH61" s="38">
        <f t="shared" si="67"/>
        <v>0</v>
      </c>
      <c r="AI61" s="38">
        <f t="shared" si="67"/>
        <v>0</v>
      </c>
      <c r="AJ61" s="38">
        <f t="shared" si="67"/>
        <v>0</v>
      </c>
      <c r="AK61" s="38">
        <f t="shared" si="67"/>
        <v>0</v>
      </c>
      <c r="AL61" s="38">
        <f t="shared" si="67"/>
        <v>0</v>
      </c>
      <c r="AM61" s="38">
        <f t="shared" si="67"/>
        <v>0</v>
      </c>
      <c r="AN61" s="38">
        <f t="shared" si="67"/>
        <v>0</v>
      </c>
      <c r="AO61" s="38">
        <f t="shared" si="67"/>
        <v>0</v>
      </c>
      <c r="AP61" s="38">
        <f t="shared" si="67"/>
        <v>0</v>
      </c>
      <c r="AQ61" s="38">
        <f t="shared" si="67"/>
        <v>0</v>
      </c>
      <c r="AR61" s="38">
        <f t="shared" si="67"/>
        <v>0</v>
      </c>
      <c r="AS61" s="38">
        <f t="shared" si="67"/>
        <v>0</v>
      </c>
      <c r="AT61" s="38">
        <f t="shared" si="67"/>
        <v>0</v>
      </c>
      <c r="AU61" s="38">
        <f t="shared" si="67"/>
        <v>0</v>
      </c>
    </row>
    <row r="62" spans="1:47" x14ac:dyDescent="0.35">
      <c r="D62" s="8"/>
    </row>
    <row r="63" spans="1:47" x14ac:dyDescent="0.35">
      <c r="C63" s="5" t="s">
        <v>80</v>
      </c>
      <c r="D63" s="8"/>
    </row>
    <row r="64" spans="1:47" x14ac:dyDescent="0.35">
      <c r="D64" s="8" t="s">
        <v>12</v>
      </c>
      <c r="I64" s="16" t="s">
        <v>114</v>
      </c>
      <c r="K64" s="80">
        <v>0</v>
      </c>
      <c r="L64" s="38">
        <f>K67</f>
        <v>228568629.83882549</v>
      </c>
      <c r="M64" s="38">
        <f t="shared" ref="M64:AU64" si="68">L67</f>
        <v>228568629.83882549</v>
      </c>
      <c r="N64" s="38">
        <f t="shared" si="68"/>
        <v>228568629.83882549</v>
      </c>
      <c r="O64" s="38">
        <f t="shared" si="68"/>
        <v>228568629.83882549</v>
      </c>
      <c r="P64" s="38">
        <f t="shared" si="68"/>
        <v>228568629.83882549</v>
      </c>
      <c r="Q64" s="38">
        <f t="shared" si="68"/>
        <v>228568629.83882549</v>
      </c>
      <c r="R64" s="38">
        <f t="shared" si="68"/>
        <v>228568629.83882549</v>
      </c>
      <c r="S64" s="38">
        <f t="shared" si="68"/>
        <v>228568629.83882549</v>
      </c>
      <c r="T64" s="38">
        <f t="shared" si="68"/>
        <v>228568629.83882549</v>
      </c>
      <c r="U64" s="38">
        <f t="shared" si="68"/>
        <v>228568629.83882549</v>
      </c>
      <c r="V64" s="38">
        <f t="shared" si="68"/>
        <v>228568629.83882549</v>
      </c>
      <c r="W64" s="38">
        <f t="shared" si="68"/>
        <v>228568629.83882549</v>
      </c>
      <c r="X64" s="38">
        <f t="shared" si="68"/>
        <v>228568629.83882549</v>
      </c>
      <c r="Y64" s="38">
        <f t="shared" si="68"/>
        <v>228568629.83882549</v>
      </c>
      <c r="Z64" s="38">
        <f t="shared" si="68"/>
        <v>228568629.83882549</v>
      </c>
      <c r="AA64" s="38">
        <f t="shared" si="68"/>
        <v>228568629.83882549</v>
      </c>
      <c r="AB64" s="38">
        <f t="shared" si="68"/>
        <v>228568629.83882549</v>
      </c>
      <c r="AC64" s="38">
        <f t="shared" si="68"/>
        <v>228568629.83882549</v>
      </c>
      <c r="AD64" s="38">
        <f t="shared" si="68"/>
        <v>228568629.83882549</v>
      </c>
      <c r="AE64" s="38">
        <f t="shared" si="68"/>
        <v>228568629.83882549</v>
      </c>
      <c r="AF64" s="38">
        <f t="shared" si="68"/>
        <v>228568629.83882549</v>
      </c>
      <c r="AG64" s="38">
        <f t="shared" si="68"/>
        <v>228568629.83882549</v>
      </c>
      <c r="AH64" s="38">
        <f t="shared" si="68"/>
        <v>228568629.83882549</v>
      </c>
      <c r="AI64" s="38">
        <f t="shared" si="68"/>
        <v>228568629.83882549</v>
      </c>
      <c r="AJ64" s="38">
        <f t="shared" si="68"/>
        <v>228568629.83882549</v>
      </c>
      <c r="AK64" s="38">
        <f t="shared" si="68"/>
        <v>228568629.83882549</v>
      </c>
      <c r="AL64" s="38">
        <f t="shared" si="68"/>
        <v>228568629.83882549</v>
      </c>
      <c r="AM64" s="38">
        <f t="shared" si="68"/>
        <v>228568629.83882549</v>
      </c>
      <c r="AN64" s="38">
        <f t="shared" si="68"/>
        <v>228568629.83882549</v>
      </c>
      <c r="AO64" s="38">
        <f t="shared" si="68"/>
        <v>228568629.83882549</v>
      </c>
      <c r="AP64" s="38">
        <f t="shared" si="68"/>
        <v>228568629.83882549</v>
      </c>
      <c r="AQ64" s="38">
        <f t="shared" si="68"/>
        <v>228568629.83882549</v>
      </c>
      <c r="AR64" s="38">
        <f t="shared" si="68"/>
        <v>228568629.83882549</v>
      </c>
      <c r="AS64" s="38">
        <f t="shared" si="68"/>
        <v>228568629.83882549</v>
      </c>
      <c r="AT64" s="38">
        <f t="shared" si="68"/>
        <v>228568629.83882549</v>
      </c>
      <c r="AU64" s="38">
        <f t="shared" si="68"/>
        <v>228568629.83882549</v>
      </c>
    </row>
    <row r="65" spans="1:47" x14ac:dyDescent="0.35">
      <c r="D65" s="8" t="s">
        <v>170</v>
      </c>
      <c r="E65" s="17">
        <f>Input!E18</f>
        <v>220000000</v>
      </c>
      <c r="I65" s="16" t="s">
        <v>114</v>
      </c>
      <c r="K65" s="38">
        <f>$E65*K60</f>
        <v>220000000</v>
      </c>
      <c r="L65" s="38">
        <f t="shared" ref="L65:AU65" si="69">$E65*L60</f>
        <v>0</v>
      </c>
      <c r="M65" s="38">
        <f t="shared" si="69"/>
        <v>0</v>
      </c>
      <c r="N65" s="38">
        <f t="shared" si="69"/>
        <v>0</v>
      </c>
      <c r="O65" s="38">
        <f t="shared" si="69"/>
        <v>0</v>
      </c>
      <c r="P65" s="38">
        <f t="shared" si="69"/>
        <v>0</v>
      </c>
      <c r="Q65" s="38">
        <f t="shared" si="69"/>
        <v>0</v>
      </c>
      <c r="R65" s="38">
        <f t="shared" si="69"/>
        <v>0</v>
      </c>
      <c r="S65" s="38">
        <f t="shared" si="69"/>
        <v>0</v>
      </c>
      <c r="T65" s="38">
        <f t="shared" si="69"/>
        <v>0</v>
      </c>
      <c r="U65" s="38">
        <f t="shared" si="69"/>
        <v>0</v>
      </c>
      <c r="V65" s="38">
        <f t="shared" si="69"/>
        <v>0</v>
      </c>
      <c r="W65" s="38">
        <f t="shared" si="69"/>
        <v>0</v>
      </c>
      <c r="X65" s="38">
        <f t="shared" si="69"/>
        <v>0</v>
      </c>
      <c r="Y65" s="38">
        <f t="shared" si="69"/>
        <v>0</v>
      </c>
      <c r="Z65" s="38">
        <f t="shared" si="69"/>
        <v>0</v>
      </c>
      <c r="AA65" s="38">
        <f t="shared" si="69"/>
        <v>0</v>
      </c>
      <c r="AB65" s="38">
        <f t="shared" si="69"/>
        <v>0</v>
      </c>
      <c r="AC65" s="38">
        <f t="shared" si="69"/>
        <v>0</v>
      </c>
      <c r="AD65" s="38">
        <f t="shared" si="69"/>
        <v>0</v>
      </c>
      <c r="AE65" s="38">
        <f t="shared" si="69"/>
        <v>0</v>
      </c>
      <c r="AF65" s="38">
        <f t="shared" si="69"/>
        <v>0</v>
      </c>
      <c r="AG65" s="38">
        <f t="shared" si="69"/>
        <v>0</v>
      </c>
      <c r="AH65" s="38">
        <f t="shared" si="69"/>
        <v>0</v>
      </c>
      <c r="AI65" s="38">
        <f t="shared" si="69"/>
        <v>0</v>
      </c>
      <c r="AJ65" s="38">
        <f t="shared" si="69"/>
        <v>0</v>
      </c>
      <c r="AK65" s="38">
        <f t="shared" si="69"/>
        <v>0</v>
      </c>
      <c r="AL65" s="38">
        <f t="shared" si="69"/>
        <v>0</v>
      </c>
      <c r="AM65" s="38">
        <f t="shared" si="69"/>
        <v>0</v>
      </c>
      <c r="AN65" s="38">
        <f t="shared" si="69"/>
        <v>0</v>
      </c>
      <c r="AO65" s="38">
        <f t="shared" si="69"/>
        <v>0</v>
      </c>
      <c r="AP65" s="38">
        <f t="shared" si="69"/>
        <v>0</v>
      </c>
      <c r="AQ65" s="38">
        <f t="shared" si="69"/>
        <v>0</v>
      </c>
      <c r="AR65" s="38">
        <f t="shared" si="69"/>
        <v>0</v>
      </c>
      <c r="AS65" s="38">
        <f t="shared" si="69"/>
        <v>0</v>
      </c>
      <c r="AT65" s="38">
        <f t="shared" si="69"/>
        <v>0</v>
      </c>
      <c r="AU65" s="38">
        <f t="shared" si="69"/>
        <v>0</v>
      </c>
    </row>
    <row r="66" spans="1:47" x14ac:dyDescent="0.35">
      <c r="D66" s="8" t="s">
        <v>172</v>
      </c>
      <c r="E66" s="17"/>
      <c r="I66" s="16" t="s">
        <v>114</v>
      </c>
      <c r="K66" s="38">
        <f>K161</f>
        <v>8568629.8388254847</v>
      </c>
      <c r="L66" s="38">
        <f t="shared" ref="L66:AU66" si="70">L161</f>
        <v>0</v>
      </c>
      <c r="M66" s="38">
        <f t="shared" si="70"/>
        <v>0</v>
      </c>
      <c r="N66" s="38">
        <f t="shared" si="70"/>
        <v>0</v>
      </c>
      <c r="O66" s="38">
        <f t="shared" si="70"/>
        <v>0</v>
      </c>
      <c r="P66" s="38">
        <f t="shared" si="70"/>
        <v>0</v>
      </c>
      <c r="Q66" s="38">
        <f t="shared" si="70"/>
        <v>0</v>
      </c>
      <c r="R66" s="38">
        <f t="shared" si="70"/>
        <v>0</v>
      </c>
      <c r="S66" s="38">
        <f t="shared" si="70"/>
        <v>0</v>
      </c>
      <c r="T66" s="38">
        <f t="shared" si="70"/>
        <v>0</v>
      </c>
      <c r="U66" s="38">
        <f t="shared" si="70"/>
        <v>0</v>
      </c>
      <c r="V66" s="38">
        <f t="shared" si="70"/>
        <v>0</v>
      </c>
      <c r="W66" s="38">
        <f t="shared" si="70"/>
        <v>0</v>
      </c>
      <c r="X66" s="38">
        <f t="shared" si="70"/>
        <v>0</v>
      </c>
      <c r="Y66" s="38">
        <f t="shared" si="70"/>
        <v>0</v>
      </c>
      <c r="Z66" s="38">
        <f t="shared" si="70"/>
        <v>0</v>
      </c>
      <c r="AA66" s="38">
        <f t="shared" si="70"/>
        <v>0</v>
      </c>
      <c r="AB66" s="38">
        <f t="shared" si="70"/>
        <v>0</v>
      </c>
      <c r="AC66" s="38">
        <f t="shared" si="70"/>
        <v>0</v>
      </c>
      <c r="AD66" s="38">
        <f t="shared" si="70"/>
        <v>0</v>
      </c>
      <c r="AE66" s="38">
        <f t="shared" si="70"/>
        <v>0</v>
      </c>
      <c r="AF66" s="38">
        <f t="shared" si="70"/>
        <v>0</v>
      </c>
      <c r="AG66" s="38">
        <f t="shared" si="70"/>
        <v>0</v>
      </c>
      <c r="AH66" s="38">
        <f t="shared" si="70"/>
        <v>0</v>
      </c>
      <c r="AI66" s="38">
        <f t="shared" si="70"/>
        <v>0</v>
      </c>
      <c r="AJ66" s="38">
        <f t="shared" si="70"/>
        <v>0</v>
      </c>
      <c r="AK66" s="38">
        <f t="shared" si="70"/>
        <v>0</v>
      </c>
      <c r="AL66" s="38">
        <f t="shared" si="70"/>
        <v>0</v>
      </c>
      <c r="AM66" s="38">
        <f t="shared" si="70"/>
        <v>0</v>
      </c>
      <c r="AN66" s="38">
        <f t="shared" si="70"/>
        <v>0</v>
      </c>
      <c r="AO66" s="38">
        <f t="shared" si="70"/>
        <v>0</v>
      </c>
      <c r="AP66" s="38">
        <f t="shared" si="70"/>
        <v>0</v>
      </c>
      <c r="AQ66" s="38">
        <f t="shared" si="70"/>
        <v>0</v>
      </c>
      <c r="AR66" s="38">
        <f t="shared" si="70"/>
        <v>0</v>
      </c>
      <c r="AS66" s="38">
        <f t="shared" si="70"/>
        <v>0</v>
      </c>
      <c r="AT66" s="38">
        <f t="shared" si="70"/>
        <v>0</v>
      </c>
      <c r="AU66" s="38">
        <f t="shared" si="70"/>
        <v>0</v>
      </c>
    </row>
    <row r="67" spans="1:47" x14ac:dyDescent="0.35">
      <c r="D67" s="13" t="s">
        <v>13</v>
      </c>
      <c r="E67" s="54">
        <v>0</v>
      </c>
      <c r="F67" s="23"/>
      <c r="G67" s="23"/>
      <c r="H67" s="23"/>
      <c r="I67" s="23" t="s">
        <v>114</v>
      </c>
      <c r="J67" s="55"/>
      <c r="K67" s="40">
        <f>SUM(K64:K66)</f>
        <v>228568629.83882549</v>
      </c>
      <c r="L67" s="40">
        <f t="shared" ref="L67:AU67" si="71">SUM(L64:L66)</f>
        <v>228568629.83882549</v>
      </c>
      <c r="M67" s="40">
        <f t="shared" si="71"/>
        <v>228568629.83882549</v>
      </c>
      <c r="N67" s="40">
        <f t="shared" si="71"/>
        <v>228568629.83882549</v>
      </c>
      <c r="O67" s="40">
        <f t="shared" si="71"/>
        <v>228568629.83882549</v>
      </c>
      <c r="P67" s="40">
        <f t="shared" si="71"/>
        <v>228568629.83882549</v>
      </c>
      <c r="Q67" s="40">
        <f t="shared" si="71"/>
        <v>228568629.83882549</v>
      </c>
      <c r="R67" s="40">
        <f t="shared" si="71"/>
        <v>228568629.83882549</v>
      </c>
      <c r="S67" s="40">
        <f t="shared" si="71"/>
        <v>228568629.83882549</v>
      </c>
      <c r="T67" s="40">
        <f t="shared" si="71"/>
        <v>228568629.83882549</v>
      </c>
      <c r="U67" s="40">
        <f t="shared" si="71"/>
        <v>228568629.83882549</v>
      </c>
      <c r="V67" s="40">
        <f t="shared" si="71"/>
        <v>228568629.83882549</v>
      </c>
      <c r="W67" s="40">
        <f t="shared" si="71"/>
        <v>228568629.83882549</v>
      </c>
      <c r="X67" s="40">
        <f t="shared" si="71"/>
        <v>228568629.83882549</v>
      </c>
      <c r="Y67" s="40">
        <f t="shared" si="71"/>
        <v>228568629.83882549</v>
      </c>
      <c r="Z67" s="40">
        <f t="shared" si="71"/>
        <v>228568629.83882549</v>
      </c>
      <c r="AA67" s="40">
        <f t="shared" si="71"/>
        <v>228568629.83882549</v>
      </c>
      <c r="AB67" s="40">
        <f t="shared" si="71"/>
        <v>228568629.83882549</v>
      </c>
      <c r="AC67" s="40">
        <f t="shared" si="71"/>
        <v>228568629.83882549</v>
      </c>
      <c r="AD67" s="40">
        <f t="shared" si="71"/>
        <v>228568629.83882549</v>
      </c>
      <c r="AE67" s="40">
        <f t="shared" si="71"/>
        <v>228568629.83882549</v>
      </c>
      <c r="AF67" s="40">
        <f t="shared" si="71"/>
        <v>228568629.83882549</v>
      </c>
      <c r="AG67" s="40">
        <f t="shared" si="71"/>
        <v>228568629.83882549</v>
      </c>
      <c r="AH67" s="40">
        <f t="shared" si="71"/>
        <v>228568629.83882549</v>
      </c>
      <c r="AI67" s="40">
        <f t="shared" si="71"/>
        <v>228568629.83882549</v>
      </c>
      <c r="AJ67" s="40">
        <f t="shared" si="71"/>
        <v>228568629.83882549</v>
      </c>
      <c r="AK67" s="40">
        <f t="shared" si="71"/>
        <v>228568629.83882549</v>
      </c>
      <c r="AL67" s="40">
        <f t="shared" si="71"/>
        <v>228568629.83882549</v>
      </c>
      <c r="AM67" s="40">
        <f t="shared" si="71"/>
        <v>228568629.83882549</v>
      </c>
      <c r="AN67" s="40">
        <f t="shared" si="71"/>
        <v>228568629.83882549</v>
      </c>
      <c r="AO67" s="40">
        <f t="shared" si="71"/>
        <v>228568629.83882549</v>
      </c>
      <c r="AP67" s="40">
        <f t="shared" si="71"/>
        <v>228568629.83882549</v>
      </c>
      <c r="AQ67" s="40">
        <f t="shared" si="71"/>
        <v>228568629.83882549</v>
      </c>
      <c r="AR67" s="40">
        <f t="shared" si="71"/>
        <v>228568629.83882549</v>
      </c>
      <c r="AS67" s="40">
        <f t="shared" si="71"/>
        <v>228568629.83882549</v>
      </c>
      <c r="AT67" s="40">
        <f t="shared" si="71"/>
        <v>228568629.83882549</v>
      </c>
      <c r="AU67" s="40">
        <f t="shared" si="71"/>
        <v>228568629.83882549</v>
      </c>
    </row>
    <row r="68" spans="1:47" x14ac:dyDescent="0.35">
      <c r="D68" s="11"/>
      <c r="E68" s="12"/>
    </row>
    <row r="69" spans="1:47" x14ac:dyDescent="0.35">
      <c r="D69" s="31" t="s">
        <v>45</v>
      </c>
      <c r="E69" s="12"/>
      <c r="I69" s="16" t="s">
        <v>114</v>
      </c>
      <c r="K69" s="38">
        <f t="shared" ref="K69:AU69" si="72">SUM(K65:K65)</f>
        <v>220000000</v>
      </c>
      <c r="L69" s="38">
        <f t="shared" si="72"/>
        <v>0</v>
      </c>
      <c r="M69" s="38">
        <f t="shared" si="72"/>
        <v>0</v>
      </c>
      <c r="N69" s="38">
        <f t="shared" si="72"/>
        <v>0</v>
      </c>
      <c r="O69" s="38">
        <f t="shared" si="72"/>
        <v>0</v>
      </c>
      <c r="P69" s="38">
        <f t="shared" si="72"/>
        <v>0</v>
      </c>
      <c r="Q69" s="38">
        <f t="shared" si="72"/>
        <v>0</v>
      </c>
      <c r="R69" s="38">
        <f t="shared" si="72"/>
        <v>0</v>
      </c>
      <c r="S69" s="38">
        <f t="shared" si="72"/>
        <v>0</v>
      </c>
      <c r="T69" s="38">
        <f t="shared" si="72"/>
        <v>0</v>
      </c>
      <c r="U69" s="38">
        <f t="shared" si="72"/>
        <v>0</v>
      </c>
      <c r="V69" s="38">
        <f t="shared" si="72"/>
        <v>0</v>
      </c>
      <c r="W69" s="38">
        <f t="shared" si="72"/>
        <v>0</v>
      </c>
      <c r="X69" s="38">
        <f t="shared" si="72"/>
        <v>0</v>
      </c>
      <c r="Y69" s="38">
        <f t="shared" si="72"/>
        <v>0</v>
      </c>
      <c r="Z69" s="38">
        <f t="shared" si="72"/>
        <v>0</v>
      </c>
      <c r="AA69" s="38">
        <f t="shared" si="72"/>
        <v>0</v>
      </c>
      <c r="AB69" s="38">
        <f t="shared" si="72"/>
        <v>0</v>
      </c>
      <c r="AC69" s="38">
        <f t="shared" si="72"/>
        <v>0</v>
      </c>
      <c r="AD69" s="38">
        <f t="shared" si="72"/>
        <v>0</v>
      </c>
      <c r="AE69" s="38">
        <f t="shared" si="72"/>
        <v>0</v>
      </c>
      <c r="AF69" s="38">
        <f t="shared" si="72"/>
        <v>0</v>
      </c>
      <c r="AG69" s="38">
        <f t="shared" si="72"/>
        <v>0</v>
      </c>
      <c r="AH69" s="38">
        <f t="shared" si="72"/>
        <v>0</v>
      </c>
      <c r="AI69" s="38">
        <f t="shared" si="72"/>
        <v>0</v>
      </c>
      <c r="AJ69" s="38">
        <f t="shared" si="72"/>
        <v>0</v>
      </c>
      <c r="AK69" s="38">
        <f t="shared" si="72"/>
        <v>0</v>
      </c>
      <c r="AL69" s="38">
        <f t="shared" si="72"/>
        <v>0</v>
      </c>
      <c r="AM69" s="38">
        <f t="shared" si="72"/>
        <v>0</v>
      </c>
      <c r="AN69" s="38">
        <f t="shared" si="72"/>
        <v>0</v>
      </c>
      <c r="AO69" s="38">
        <f t="shared" si="72"/>
        <v>0</v>
      </c>
      <c r="AP69" s="38">
        <f t="shared" si="72"/>
        <v>0</v>
      </c>
      <c r="AQ69" s="38">
        <f t="shared" si="72"/>
        <v>0</v>
      </c>
      <c r="AR69" s="38">
        <f t="shared" si="72"/>
        <v>0</v>
      </c>
      <c r="AS69" s="38">
        <f t="shared" si="72"/>
        <v>0</v>
      </c>
      <c r="AT69" s="38">
        <f t="shared" si="72"/>
        <v>0</v>
      </c>
      <c r="AU69" s="38">
        <f t="shared" si="72"/>
        <v>0</v>
      </c>
    </row>
    <row r="70" spans="1:47" x14ac:dyDescent="0.35">
      <c r="D70" s="31" t="s">
        <v>171</v>
      </c>
      <c r="E70" s="12"/>
      <c r="I70" s="16" t="s">
        <v>114</v>
      </c>
      <c r="K70" s="38">
        <f>K66</f>
        <v>8568629.8388254847</v>
      </c>
      <c r="L70" s="38">
        <f t="shared" ref="L70:AU70" si="73">L66</f>
        <v>0</v>
      </c>
      <c r="M70" s="38">
        <f t="shared" si="73"/>
        <v>0</v>
      </c>
      <c r="N70" s="38">
        <f t="shared" si="73"/>
        <v>0</v>
      </c>
      <c r="O70" s="38">
        <f t="shared" si="73"/>
        <v>0</v>
      </c>
      <c r="P70" s="38">
        <f t="shared" si="73"/>
        <v>0</v>
      </c>
      <c r="Q70" s="38">
        <f t="shared" si="73"/>
        <v>0</v>
      </c>
      <c r="R70" s="38">
        <f t="shared" si="73"/>
        <v>0</v>
      </c>
      <c r="S70" s="38">
        <f t="shared" si="73"/>
        <v>0</v>
      </c>
      <c r="T70" s="38">
        <f t="shared" si="73"/>
        <v>0</v>
      </c>
      <c r="U70" s="38">
        <f t="shared" si="73"/>
        <v>0</v>
      </c>
      <c r="V70" s="38">
        <f t="shared" si="73"/>
        <v>0</v>
      </c>
      <c r="W70" s="38">
        <f t="shared" si="73"/>
        <v>0</v>
      </c>
      <c r="X70" s="38">
        <f t="shared" si="73"/>
        <v>0</v>
      </c>
      <c r="Y70" s="38">
        <f t="shared" si="73"/>
        <v>0</v>
      </c>
      <c r="Z70" s="38">
        <f t="shared" si="73"/>
        <v>0</v>
      </c>
      <c r="AA70" s="38">
        <f t="shared" si="73"/>
        <v>0</v>
      </c>
      <c r="AB70" s="38">
        <f t="shared" si="73"/>
        <v>0</v>
      </c>
      <c r="AC70" s="38">
        <f t="shared" si="73"/>
        <v>0</v>
      </c>
      <c r="AD70" s="38">
        <f t="shared" si="73"/>
        <v>0</v>
      </c>
      <c r="AE70" s="38">
        <f t="shared" si="73"/>
        <v>0</v>
      </c>
      <c r="AF70" s="38">
        <f t="shared" si="73"/>
        <v>0</v>
      </c>
      <c r="AG70" s="38">
        <f t="shared" si="73"/>
        <v>0</v>
      </c>
      <c r="AH70" s="38">
        <f t="shared" si="73"/>
        <v>0</v>
      </c>
      <c r="AI70" s="38">
        <f t="shared" si="73"/>
        <v>0</v>
      </c>
      <c r="AJ70" s="38">
        <f t="shared" si="73"/>
        <v>0</v>
      </c>
      <c r="AK70" s="38">
        <f t="shared" si="73"/>
        <v>0</v>
      </c>
      <c r="AL70" s="38">
        <f t="shared" si="73"/>
        <v>0</v>
      </c>
      <c r="AM70" s="38">
        <f t="shared" si="73"/>
        <v>0</v>
      </c>
      <c r="AN70" s="38">
        <f t="shared" si="73"/>
        <v>0</v>
      </c>
      <c r="AO70" s="38">
        <f t="shared" si="73"/>
        <v>0</v>
      </c>
      <c r="AP70" s="38">
        <f t="shared" si="73"/>
        <v>0</v>
      </c>
      <c r="AQ70" s="38">
        <f t="shared" si="73"/>
        <v>0</v>
      </c>
      <c r="AR70" s="38">
        <f t="shared" si="73"/>
        <v>0</v>
      </c>
      <c r="AS70" s="38">
        <f t="shared" si="73"/>
        <v>0</v>
      </c>
      <c r="AT70" s="38">
        <f t="shared" si="73"/>
        <v>0</v>
      </c>
      <c r="AU70" s="38">
        <f t="shared" si="73"/>
        <v>0</v>
      </c>
    </row>
    <row r="71" spans="1:47" x14ac:dyDescent="0.35">
      <c r="D71" s="11"/>
      <c r="E71" s="12"/>
    </row>
    <row r="72" spans="1:47" x14ac:dyDescent="0.35">
      <c r="C72" s="5" t="s">
        <v>75</v>
      </c>
    </row>
    <row r="73" spans="1:47" x14ac:dyDescent="0.35">
      <c r="D73" s="8" t="str">
        <f>Input!D21</f>
        <v>Useful life</v>
      </c>
      <c r="E73" s="17">
        <f>Input!E21</f>
        <v>20</v>
      </c>
      <c r="I73" s="16" t="s">
        <v>2</v>
      </c>
    </row>
    <row r="74" spans="1:47" x14ac:dyDescent="0.35">
      <c r="D74" s="2" t="s">
        <v>163</v>
      </c>
      <c r="E74" s="96"/>
      <c r="G74" s="75">
        <f>G9</f>
        <v>46753</v>
      </c>
      <c r="H74" s="75">
        <f>EOMONTH(G74-2, E73*12)</f>
        <v>54057</v>
      </c>
      <c r="J74" s="61">
        <f>SUM(K74:AU74)</f>
        <v>20</v>
      </c>
      <c r="K74" s="38">
        <f>AND(K$4&gt;=$G74, K$5&lt;=$H74) * 1</f>
        <v>0</v>
      </c>
      <c r="L74" s="38">
        <f>AND(L$4&gt;=$G74, L$5&lt;=$H74) * 1</f>
        <v>1</v>
      </c>
      <c r="M74" s="38">
        <f t="shared" ref="M74:AU74" si="74">AND(M$4&gt;=$G74, M$5&lt;=$H74) * 1</f>
        <v>1</v>
      </c>
      <c r="N74" s="38">
        <f t="shared" si="74"/>
        <v>1</v>
      </c>
      <c r="O74" s="38">
        <f t="shared" si="74"/>
        <v>1</v>
      </c>
      <c r="P74" s="38">
        <f t="shared" si="74"/>
        <v>1</v>
      </c>
      <c r="Q74" s="38">
        <f t="shared" si="74"/>
        <v>1</v>
      </c>
      <c r="R74" s="38">
        <f t="shared" si="74"/>
        <v>1</v>
      </c>
      <c r="S74" s="38">
        <f t="shared" si="74"/>
        <v>1</v>
      </c>
      <c r="T74" s="38">
        <f t="shared" si="74"/>
        <v>1</v>
      </c>
      <c r="U74" s="38">
        <f t="shared" si="74"/>
        <v>1</v>
      </c>
      <c r="V74" s="38">
        <f t="shared" si="74"/>
        <v>1</v>
      </c>
      <c r="W74" s="38">
        <f t="shared" si="74"/>
        <v>1</v>
      </c>
      <c r="X74" s="38">
        <f t="shared" si="74"/>
        <v>1</v>
      </c>
      <c r="Y74" s="38">
        <f t="shared" si="74"/>
        <v>1</v>
      </c>
      <c r="Z74" s="38">
        <f t="shared" si="74"/>
        <v>1</v>
      </c>
      <c r="AA74" s="38">
        <f t="shared" si="74"/>
        <v>1</v>
      </c>
      <c r="AB74" s="38">
        <f t="shared" si="74"/>
        <v>1</v>
      </c>
      <c r="AC74" s="38">
        <f t="shared" si="74"/>
        <v>1</v>
      </c>
      <c r="AD74" s="38">
        <f t="shared" si="74"/>
        <v>1</v>
      </c>
      <c r="AE74" s="38">
        <f t="shared" si="74"/>
        <v>1</v>
      </c>
      <c r="AF74" s="38">
        <f t="shared" si="74"/>
        <v>0</v>
      </c>
      <c r="AG74" s="38">
        <f t="shared" si="74"/>
        <v>0</v>
      </c>
      <c r="AH74" s="38">
        <f t="shared" si="74"/>
        <v>0</v>
      </c>
      <c r="AI74" s="38">
        <f t="shared" si="74"/>
        <v>0</v>
      </c>
      <c r="AJ74" s="38">
        <f t="shared" si="74"/>
        <v>0</v>
      </c>
      <c r="AK74" s="38">
        <f t="shared" si="74"/>
        <v>0</v>
      </c>
      <c r="AL74" s="38">
        <f t="shared" si="74"/>
        <v>0</v>
      </c>
      <c r="AM74" s="38">
        <f t="shared" si="74"/>
        <v>0</v>
      </c>
      <c r="AN74" s="38">
        <f t="shared" si="74"/>
        <v>0</v>
      </c>
      <c r="AO74" s="38">
        <f t="shared" si="74"/>
        <v>0</v>
      </c>
      <c r="AP74" s="38">
        <f t="shared" si="74"/>
        <v>0</v>
      </c>
      <c r="AQ74" s="38">
        <f t="shared" si="74"/>
        <v>0</v>
      </c>
      <c r="AR74" s="38">
        <f t="shared" si="74"/>
        <v>0</v>
      </c>
      <c r="AS74" s="38">
        <f t="shared" si="74"/>
        <v>0</v>
      </c>
      <c r="AT74" s="38">
        <f t="shared" si="74"/>
        <v>0</v>
      </c>
      <c r="AU74" s="38">
        <f t="shared" si="74"/>
        <v>0</v>
      </c>
    </row>
    <row r="75" spans="1:47" x14ac:dyDescent="0.35">
      <c r="D75" s="2" t="s">
        <v>82</v>
      </c>
      <c r="I75" s="16" t="s">
        <v>114</v>
      </c>
      <c r="J75" s="61"/>
      <c r="K75" s="38">
        <f>K64*K74/$J74</f>
        <v>0</v>
      </c>
      <c r="L75" s="38">
        <f t="shared" ref="L75:AU75" si="75">L64*L74/$J74</f>
        <v>11428431.491941275</v>
      </c>
      <c r="M75" s="38">
        <f t="shared" si="75"/>
        <v>11428431.491941275</v>
      </c>
      <c r="N75" s="38">
        <f t="shared" si="75"/>
        <v>11428431.491941275</v>
      </c>
      <c r="O75" s="38">
        <f t="shared" si="75"/>
        <v>11428431.491941275</v>
      </c>
      <c r="P75" s="38">
        <f t="shared" si="75"/>
        <v>11428431.491941275</v>
      </c>
      <c r="Q75" s="38">
        <f t="shared" si="75"/>
        <v>11428431.491941275</v>
      </c>
      <c r="R75" s="38">
        <f t="shared" si="75"/>
        <v>11428431.491941275</v>
      </c>
      <c r="S75" s="38">
        <f t="shared" si="75"/>
        <v>11428431.491941275</v>
      </c>
      <c r="T75" s="38">
        <f t="shared" si="75"/>
        <v>11428431.491941275</v>
      </c>
      <c r="U75" s="38">
        <f t="shared" si="75"/>
        <v>11428431.491941275</v>
      </c>
      <c r="V75" s="38">
        <f t="shared" si="75"/>
        <v>11428431.491941275</v>
      </c>
      <c r="W75" s="38">
        <f t="shared" si="75"/>
        <v>11428431.491941275</v>
      </c>
      <c r="X75" s="38">
        <f t="shared" si="75"/>
        <v>11428431.491941275</v>
      </c>
      <c r="Y75" s="38">
        <f t="shared" si="75"/>
        <v>11428431.491941275</v>
      </c>
      <c r="Z75" s="38">
        <f t="shared" si="75"/>
        <v>11428431.491941275</v>
      </c>
      <c r="AA75" s="38">
        <f t="shared" si="75"/>
        <v>11428431.491941275</v>
      </c>
      <c r="AB75" s="38">
        <f t="shared" si="75"/>
        <v>11428431.491941275</v>
      </c>
      <c r="AC75" s="38">
        <f t="shared" si="75"/>
        <v>11428431.491941275</v>
      </c>
      <c r="AD75" s="38">
        <f t="shared" si="75"/>
        <v>11428431.491941275</v>
      </c>
      <c r="AE75" s="38">
        <f t="shared" si="75"/>
        <v>11428431.491941275</v>
      </c>
      <c r="AF75" s="38">
        <f t="shared" si="75"/>
        <v>0</v>
      </c>
      <c r="AG75" s="38">
        <f t="shared" si="75"/>
        <v>0</v>
      </c>
      <c r="AH75" s="38">
        <f t="shared" si="75"/>
        <v>0</v>
      </c>
      <c r="AI75" s="38">
        <f t="shared" si="75"/>
        <v>0</v>
      </c>
      <c r="AJ75" s="38">
        <f t="shared" si="75"/>
        <v>0</v>
      </c>
      <c r="AK75" s="38">
        <f t="shared" si="75"/>
        <v>0</v>
      </c>
      <c r="AL75" s="38">
        <f t="shared" si="75"/>
        <v>0</v>
      </c>
      <c r="AM75" s="38">
        <f t="shared" si="75"/>
        <v>0</v>
      </c>
      <c r="AN75" s="38">
        <f t="shared" si="75"/>
        <v>0</v>
      </c>
      <c r="AO75" s="38">
        <f t="shared" si="75"/>
        <v>0</v>
      </c>
      <c r="AP75" s="38">
        <f t="shared" si="75"/>
        <v>0</v>
      </c>
      <c r="AQ75" s="38">
        <f t="shared" si="75"/>
        <v>0</v>
      </c>
      <c r="AR75" s="38">
        <f t="shared" si="75"/>
        <v>0</v>
      </c>
      <c r="AS75" s="38">
        <f t="shared" si="75"/>
        <v>0</v>
      </c>
      <c r="AT75" s="38">
        <f t="shared" si="75"/>
        <v>0</v>
      </c>
      <c r="AU75" s="38">
        <f t="shared" si="75"/>
        <v>0</v>
      </c>
    </row>
    <row r="76" spans="1:47" x14ac:dyDescent="0.35">
      <c r="D76" s="2" t="s">
        <v>83</v>
      </c>
      <c r="I76" s="16" t="s">
        <v>114</v>
      </c>
      <c r="J76" s="24"/>
      <c r="K76" s="38">
        <f t="shared" ref="K76:AU76" si="76">J76+K75</f>
        <v>0</v>
      </c>
      <c r="L76" s="38">
        <f t="shared" si="76"/>
        <v>11428431.491941275</v>
      </c>
      <c r="M76" s="38">
        <f t="shared" si="76"/>
        <v>22856862.98388255</v>
      </c>
      <c r="N76" s="38">
        <f t="shared" si="76"/>
        <v>34285294.475823827</v>
      </c>
      <c r="O76" s="38">
        <f t="shared" si="76"/>
        <v>45713725.9677651</v>
      </c>
      <c r="P76" s="38">
        <f t="shared" si="76"/>
        <v>57142157.459706374</v>
      </c>
      <c r="Q76" s="38">
        <f t="shared" si="76"/>
        <v>68570588.951647654</v>
      </c>
      <c r="R76" s="38">
        <f t="shared" si="76"/>
        <v>79999020.443588927</v>
      </c>
      <c r="S76" s="38">
        <f t="shared" si="76"/>
        <v>91427451.935530201</v>
      </c>
      <c r="T76" s="38">
        <f t="shared" si="76"/>
        <v>102855883.42747147</v>
      </c>
      <c r="U76" s="38">
        <f t="shared" si="76"/>
        <v>114284314.91941275</v>
      </c>
      <c r="V76" s="38">
        <f t="shared" si="76"/>
        <v>125712746.41135402</v>
      </c>
      <c r="W76" s="38">
        <f t="shared" si="76"/>
        <v>137141177.90329531</v>
      </c>
      <c r="X76" s="38">
        <f t="shared" si="76"/>
        <v>148569609.39523658</v>
      </c>
      <c r="Y76" s="38">
        <f t="shared" si="76"/>
        <v>159998040.88717785</v>
      </c>
      <c r="Z76" s="38">
        <f t="shared" si="76"/>
        <v>171426472.37911913</v>
      </c>
      <c r="AA76" s="38">
        <f t="shared" si="76"/>
        <v>182854903.8710604</v>
      </c>
      <c r="AB76" s="38">
        <f t="shared" si="76"/>
        <v>194283335.36300167</v>
      </c>
      <c r="AC76" s="38">
        <f t="shared" si="76"/>
        <v>205711766.85494295</v>
      </c>
      <c r="AD76" s="38">
        <f t="shared" si="76"/>
        <v>217140198.34688422</v>
      </c>
      <c r="AE76" s="38">
        <f t="shared" si="76"/>
        <v>228568629.83882549</v>
      </c>
      <c r="AF76" s="38">
        <f t="shared" si="76"/>
        <v>228568629.83882549</v>
      </c>
      <c r="AG76" s="38">
        <f t="shared" si="76"/>
        <v>228568629.83882549</v>
      </c>
      <c r="AH76" s="38">
        <f t="shared" si="76"/>
        <v>228568629.83882549</v>
      </c>
      <c r="AI76" s="38">
        <f t="shared" si="76"/>
        <v>228568629.83882549</v>
      </c>
      <c r="AJ76" s="38">
        <f t="shared" si="76"/>
        <v>228568629.83882549</v>
      </c>
      <c r="AK76" s="38">
        <f t="shared" si="76"/>
        <v>228568629.83882549</v>
      </c>
      <c r="AL76" s="38">
        <f t="shared" si="76"/>
        <v>228568629.83882549</v>
      </c>
      <c r="AM76" s="38">
        <f t="shared" si="76"/>
        <v>228568629.83882549</v>
      </c>
      <c r="AN76" s="38">
        <f t="shared" si="76"/>
        <v>228568629.83882549</v>
      </c>
      <c r="AO76" s="38">
        <f t="shared" si="76"/>
        <v>228568629.83882549</v>
      </c>
      <c r="AP76" s="38">
        <f t="shared" si="76"/>
        <v>228568629.83882549</v>
      </c>
      <c r="AQ76" s="38">
        <f t="shared" si="76"/>
        <v>228568629.83882549</v>
      </c>
      <c r="AR76" s="38">
        <f t="shared" si="76"/>
        <v>228568629.83882549</v>
      </c>
      <c r="AS76" s="38">
        <f t="shared" si="76"/>
        <v>228568629.83882549</v>
      </c>
      <c r="AT76" s="38">
        <f t="shared" si="76"/>
        <v>228568629.83882549</v>
      </c>
      <c r="AU76" s="38">
        <f t="shared" si="76"/>
        <v>228568629.83882549</v>
      </c>
    </row>
    <row r="78" spans="1:47" x14ac:dyDescent="0.35">
      <c r="D78" s="39" t="s">
        <v>84</v>
      </c>
      <c r="E78" s="18"/>
      <c r="F78" s="18"/>
      <c r="G78" s="18"/>
      <c r="H78" s="18"/>
      <c r="I78" s="18" t="s">
        <v>114</v>
      </c>
      <c r="J78" s="18"/>
      <c r="K78" s="62">
        <f t="shared" ref="K78:AU78" si="77">K67-K76</f>
        <v>228568629.83882549</v>
      </c>
      <c r="L78" s="62">
        <f t="shared" si="77"/>
        <v>217140198.34688422</v>
      </c>
      <c r="M78" s="62">
        <f t="shared" si="77"/>
        <v>205711766.85494295</v>
      </c>
      <c r="N78" s="62">
        <f t="shared" si="77"/>
        <v>194283335.36300167</v>
      </c>
      <c r="O78" s="62">
        <f t="shared" si="77"/>
        <v>182854903.8710604</v>
      </c>
      <c r="P78" s="62">
        <f t="shared" si="77"/>
        <v>171426472.37911913</v>
      </c>
      <c r="Q78" s="62">
        <f t="shared" si="77"/>
        <v>159998040.88717782</v>
      </c>
      <c r="R78" s="62">
        <f t="shared" si="77"/>
        <v>148569609.39523655</v>
      </c>
      <c r="S78" s="62">
        <f t="shared" si="77"/>
        <v>137141177.90329528</v>
      </c>
      <c r="T78" s="62">
        <f t="shared" si="77"/>
        <v>125712746.41135402</v>
      </c>
      <c r="U78" s="62">
        <f t="shared" si="77"/>
        <v>114284314.91941275</v>
      </c>
      <c r="V78" s="62">
        <f t="shared" si="77"/>
        <v>102855883.42747147</v>
      </c>
      <c r="W78" s="62">
        <f t="shared" si="77"/>
        <v>91427451.935530186</v>
      </c>
      <c r="X78" s="62">
        <f t="shared" si="77"/>
        <v>79999020.443588912</v>
      </c>
      <c r="Y78" s="62">
        <f t="shared" si="77"/>
        <v>68570588.951647639</v>
      </c>
      <c r="Z78" s="62">
        <f t="shared" si="77"/>
        <v>57142157.459706366</v>
      </c>
      <c r="AA78" s="62">
        <f t="shared" si="77"/>
        <v>45713725.967765093</v>
      </c>
      <c r="AB78" s="62">
        <f t="shared" si="77"/>
        <v>34285294.47582382</v>
      </c>
      <c r="AC78" s="62">
        <f t="shared" si="77"/>
        <v>22856862.983882546</v>
      </c>
      <c r="AD78" s="62">
        <f t="shared" si="77"/>
        <v>11428431.491941273</v>
      </c>
      <c r="AE78" s="62">
        <f t="shared" si="77"/>
        <v>0</v>
      </c>
      <c r="AF78" s="62">
        <f t="shared" si="77"/>
        <v>0</v>
      </c>
      <c r="AG78" s="62">
        <f t="shared" si="77"/>
        <v>0</v>
      </c>
      <c r="AH78" s="62">
        <f t="shared" si="77"/>
        <v>0</v>
      </c>
      <c r="AI78" s="62">
        <f t="shared" si="77"/>
        <v>0</v>
      </c>
      <c r="AJ78" s="62">
        <f t="shared" si="77"/>
        <v>0</v>
      </c>
      <c r="AK78" s="62">
        <f t="shared" si="77"/>
        <v>0</v>
      </c>
      <c r="AL78" s="62">
        <f t="shared" si="77"/>
        <v>0</v>
      </c>
      <c r="AM78" s="62">
        <f t="shared" si="77"/>
        <v>0</v>
      </c>
      <c r="AN78" s="62">
        <f t="shared" si="77"/>
        <v>0</v>
      </c>
      <c r="AO78" s="62">
        <f t="shared" si="77"/>
        <v>0</v>
      </c>
      <c r="AP78" s="62">
        <f t="shared" si="77"/>
        <v>0</v>
      </c>
      <c r="AQ78" s="62">
        <f t="shared" si="77"/>
        <v>0</v>
      </c>
      <c r="AR78" s="62">
        <f t="shared" si="77"/>
        <v>0</v>
      </c>
      <c r="AS78" s="62">
        <f t="shared" si="77"/>
        <v>0</v>
      </c>
      <c r="AT78" s="62">
        <f t="shared" si="77"/>
        <v>0</v>
      </c>
      <c r="AU78" s="86">
        <f t="shared" si="77"/>
        <v>0</v>
      </c>
    </row>
    <row r="80" spans="1:47" x14ac:dyDescent="0.35">
      <c r="A80" s="32" t="s">
        <v>185</v>
      </c>
      <c r="B80" s="32"/>
      <c r="C80" s="90"/>
      <c r="D80" s="33"/>
      <c r="E80" s="49"/>
      <c r="F80" s="49"/>
      <c r="G80" s="49"/>
      <c r="H80" s="49"/>
      <c r="I80" s="49"/>
      <c r="J80" s="49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</row>
    <row r="81" spans="2:47" x14ac:dyDescent="0.35">
      <c r="D81" s="38" t="str">
        <f>D50</f>
        <v>Total Revenue</v>
      </c>
      <c r="I81" s="16" t="s">
        <v>114</v>
      </c>
      <c r="J81" s="61">
        <f>SUM(K81:AU81)</f>
        <v>737439061.66099596</v>
      </c>
      <c r="K81" s="38">
        <f t="shared" ref="K81:AU81" si="78">K50</f>
        <v>0</v>
      </c>
      <c r="L81" s="38">
        <f t="shared" si="78"/>
        <v>19844301.311999999</v>
      </c>
      <c r="M81" s="38">
        <f t="shared" si="78"/>
        <v>19852807.016908802</v>
      </c>
      <c r="N81" s="38">
        <f t="shared" si="78"/>
        <v>19862875.328743938</v>
      </c>
      <c r="O81" s="38">
        <f t="shared" si="78"/>
        <v>19874522.35098901</v>
      </c>
      <c r="P81" s="38">
        <f t="shared" si="78"/>
        <v>19887764.462966301</v>
      </c>
      <c r="Q81" s="38">
        <f t="shared" si="78"/>
        <v>19902618.323767308</v>
      </c>
      <c r="R81" s="38">
        <f t="shared" si="78"/>
        <v>19919100.876242738</v>
      </c>
      <c r="S81" s="38">
        <f t="shared" si="78"/>
        <v>19937229.351052802</v>
      </c>
      <c r="T81" s="38">
        <f t="shared" si="78"/>
        <v>19957021.270778757</v>
      </c>
      <c r="U81" s="38">
        <f t="shared" si="78"/>
        <v>19978494.454096653</v>
      </c>
      <c r="V81" s="38">
        <f t="shared" si="78"/>
        <v>17932334.135951456</v>
      </c>
      <c r="W81" s="38">
        <f t="shared" si="78"/>
        <v>18199525.914577127</v>
      </c>
      <c r="X81" s="38">
        <f t="shared" si="78"/>
        <v>18470698.850704327</v>
      </c>
      <c r="Y81" s="38">
        <f t="shared" si="78"/>
        <v>18745912.263579823</v>
      </c>
      <c r="Z81" s="38">
        <f t="shared" si="78"/>
        <v>19025226.356307164</v>
      </c>
      <c r="AA81" s="38">
        <f t="shared" si="78"/>
        <v>19308702.22901614</v>
      </c>
      <c r="AB81" s="38">
        <f t="shared" si="78"/>
        <v>19596401.892228484</v>
      </c>
      <c r="AC81" s="38">
        <f t="shared" si="78"/>
        <v>19888388.280422691</v>
      </c>
      <c r="AD81" s="38">
        <f t="shared" si="78"/>
        <v>20184725.265800983</v>
      </c>
      <c r="AE81" s="38">
        <f t="shared" si="78"/>
        <v>20485477.672261421</v>
      </c>
      <c r="AF81" s="38">
        <f t="shared" si="78"/>
        <v>20790711.289578117</v>
      </c>
      <c r="AG81" s="38">
        <f t="shared" si="78"/>
        <v>21100492.887792833</v>
      </c>
      <c r="AH81" s="38">
        <f t="shared" si="78"/>
        <v>21414890.231820941</v>
      </c>
      <c r="AI81" s="38">
        <f t="shared" si="78"/>
        <v>21733972.096275073</v>
      </c>
      <c r="AJ81" s="38">
        <f t="shared" si="78"/>
        <v>22057808.280509572</v>
      </c>
      <c r="AK81" s="38">
        <f t="shared" si="78"/>
        <v>22386469.623889171</v>
      </c>
      <c r="AL81" s="38">
        <f t="shared" si="78"/>
        <v>22720028.02128512</v>
      </c>
      <c r="AM81" s="38">
        <f t="shared" si="78"/>
        <v>23058556.438802272</v>
      </c>
      <c r="AN81" s="38">
        <f t="shared" si="78"/>
        <v>23402128.929740425</v>
      </c>
      <c r="AO81" s="38">
        <f t="shared" si="78"/>
        <v>23750820.650793552</v>
      </c>
      <c r="AP81" s="38">
        <f t="shared" si="78"/>
        <v>24104707.878490381</v>
      </c>
      <c r="AQ81" s="38">
        <f t="shared" si="78"/>
        <v>24463868.02587989</v>
      </c>
      <c r="AR81" s="38">
        <f t="shared" si="78"/>
        <v>24828379.659465499</v>
      </c>
      <c r="AS81" s="38">
        <f t="shared" si="78"/>
        <v>25198322.516391538</v>
      </c>
      <c r="AT81" s="38">
        <f t="shared" si="78"/>
        <v>25573777.521885771</v>
      </c>
      <c r="AU81" s="38">
        <f t="shared" si="78"/>
        <v>0</v>
      </c>
    </row>
    <row r="82" spans="2:47" x14ac:dyDescent="0.35">
      <c r="D82" s="8" t="str">
        <f>D56</f>
        <v>Operating expense</v>
      </c>
      <c r="I82" s="16" t="s">
        <v>114</v>
      </c>
      <c r="J82" s="61">
        <f>SUM(K82:AU82)</f>
        <v>-263655395.72471848</v>
      </c>
      <c r="K82" s="38">
        <f t="shared" ref="K82:AU82" si="79">-K56</f>
        <v>0</v>
      </c>
      <c r="L82" s="38">
        <f t="shared" si="79"/>
        <v>-4800000</v>
      </c>
      <c r="M82" s="38">
        <f t="shared" si="79"/>
        <v>-4920000</v>
      </c>
      <c r="N82" s="38">
        <f t="shared" si="79"/>
        <v>-5043000</v>
      </c>
      <c r="O82" s="38">
        <f t="shared" si="79"/>
        <v>-5169074.9999999991</v>
      </c>
      <c r="P82" s="38">
        <f t="shared" si="79"/>
        <v>-5298301.8749999991</v>
      </c>
      <c r="Q82" s="38">
        <f t="shared" si="79"/>
        <v>-5430759.4218749981</v>
      </c>
      <c r="R82" s="38">
        <f t="shared" si="79"/>
        <v>-5566528.407421873</v>
      </c>
      <c r="S82" s="38">
        <f t="shared" si="79"/>
        <v>-5705691.6176074194</v>
      </c>
      <c r="T82" s="38">
        <f t="shared" si="79"/>
        <v>-5848333.9080476044</v>
      </c>
      <c r="U82" s="38">
        <f t="shared" si="79"/>
        <v>-5994542.2557487935</v>
      </c>
      <c r="V82" s="38">
        <f t="shared" si="79"/>
        <v>-6144405.8121425118</v>
      </c>
      <c r="W82" s="38">
        <f t="shared" si="79"/>
        <v>-6298015.957446075</v>
      </c>
      <c r="X82" s="38">
        <f t="shared" si="79"/>
        <v>-6455466.3563822256</v>
      </c>
      <c r="Y82" s="38">
        <f t="shared" si="79"/>
        <v>-6616853.0152917812</v>
      </c>
      <c r="Z82" s="38">
        <f t="shared" si="79"/>
        <v>-6782274.3406740753</v>
      </c>
      <c r="AA82" s="38">
        <f t="shared" si="79"/>
        <v>-6951831.1991909258</v>
      </c>
      <c r="AB82" s="38">
        <f t="shared" si="79"/>
        <v>-7125626.9791706987</v>
      </c>
      <c r="AC82" s="38">
        <f t="shared" si="79"/>
        <v>-7303767.6536499653</v>
      </c>
      <c r="AD82" s="38">
        <f t="shared" si="79"/>
        <v>-7486361.8449912136</v>
      </c>
      <c r="AE82" s="38">
        <f t="shared" si="79"/>
        <v>-7673520.8911159933</v>
      </c>
      <c r="AF82" s="38">
        <f t="shared" si="79"/>
        <v>-7865358.9133938923</v>
      </c>
      <c r="AG82" s="38">
        <f t="shared" si="79"/>
        <v>-8061992.8862287384</v>
      </c>
      <c r="AH82" s="38">
        <f t="shared" si="79"/>
        <v>-8263542.7083844561</v>
      </c>
      <c r="AI82" s="38">
        <f t="shared" si="79"/>
        <v>-8470131.2760940678</v>
      </c>
      <c r="AJ82" s="38">
        <f t="shared" si="79"/>
        <v>-8681884.5579964183</v>
      </c>
      <c r="AK82" s="38">
        <f t="shared" si="79"/>
        <v>-8898931.6719463281</v>
      </c>
      <c r="AL82" s="38">
        <f t="shared" si="79"/>
        <v>-9121404.9637449849</v>
      </c>
      <c r="AM82" s="38">
        <f t="shared" si="79"/>
        <v>-9349440.0878386088</v>
      </c>
      <c r="AN82" s="38">
        <f t="shared" si="79"/>
        <v>-9583176.0900345743</v>
      </c>
      <c r="AO82" s="38">
        <f t="shared" si="79"/>
        <v>-9822755.492285436</v>
      </c>
      <c r="AP82" s="38">
        <f t="shared" si="79"/>
        <v>-10068324.379592571</v>
      </c>
      <c r="AQ82" s="38">
        <f t="shared" si="79"/>
        <v>-10320032.489082385</v>
      </c>
      <c r="AR82" s="38">
        <f t="shared" si="79"/>
        <v>-10578033.301309442</v>
      </c>
      <c r="AS82" s="38">
        <f t="shared" si="79"/>
        <v>-10842484.133842178</v>
      </c>
      <c r="AT82" s="38">
        <f t="shared" si="79"/>
        <v>-11113546.237188231</v>
      </c>
      <c r="AU82" s="38">
        <f t="shared" si="79"/>
        <v>0</v>
      </c>
    </row>
    <row r="83" spans="2:47" x14ac:dyDescent="0.35">
      <c r="D83" s="39" t="s">
        <v>31</v>
      </c>
      <c r="E83" s="18"/>
      <c r="F83" s="18"/>
      <c r="G83" s="18"/>
      <c r="H83" s="18"/>
      <c r="I83" s="18" t="s">
        <v>114</v>
      </c>
      <c r="J83" s="83">
        <f>SUM(K83:AU83)</f>
        <v>473783665.93627751</v>
      </c>
      <c r="K83" s="62">
        <f>SUM(K81:K82)</f>
        <v>0</v>
      </c>
      <c r="L83" s="62">
        <f t="shared" ref="L83:AU83" si="80">SUM(L81:L82)</f>
        <v>15044301.311999999</v>
      </c>
      <c r="M83" s="62">
        <f t="shared" si="80"/>
        <v>14932807.016908802</v>
      </c>
      <c r="N83" s="62">
        <f t="shared" si="80"/>
        <v>14819875.328743938</v>
      </c>
      <c r="O83" s="62">
        <f t="shared" si="80"/>
        <v>14705447.35098901</v>
      </c>
      <c r="P83" s="62">
        <f t="shared" si="80"/>
        <v>14589462.587966301</v>
      </c>
      <c r="Q83" s="62">
        <f t="shared" si="80"/>
        <v>14471858.90189231</v>
      </c>
      <c r="R83" s="62">
        <f t="shared" si="80"/>
        <v>14352572.468820866</v>
      </c>
      <c r="S83" s="62">
        <f t="shared" si="80"/>
        <v>14231537.733445384</v>
      </c>
      <c r="T83" s="62">
        <f t="shared" si="80"/>
        <v>14108687.362731151</v>
      </c>
      <c r="U83" s="62">
        <f t="shared" si="80"/>
        <v>13983952.198347859</v>
      </c>
      <c r="V83" s="62">
        <f t="shared" si="80"/>
        <v>11787928.323808944</v>
      </c>
      <c r="W83" s="62">
        <f t="shared" si="80"/>
        <v>11901509.957131051</v>
      </c>
      <c r="X83" s="62">
        <f t="shared" si="80"/>
        <v>12015232.494322103</v>
      </c>
      <c r="Y83" s="62">
        <f t="shared" si="80"/>
        <v>12129059.248288043</v>
      </c>
      <c r="Z83" s="62">
        <f t="shared" si="80"/>
        <v>12242952.015633088</v>
      </c>
      <c r="AA83" s="62">
        <f t="shared" si="80"/>
        <v>12356871.029825214</v>
      </c>
      <c r="AB83" s="62">
        <f t="shared" si="80"/>
        <v>12470774.913057785</v>
      </c>
      <c r="AC83" s="62">
        <f t="shared" si="80"/>
        <v>12584620.626772726</v>
      </c>
      <c r="AD83" s="62">
        <f t="shared" si="80"/>
        <v>12698363.420809768</v>
      </c>
      <c r="AE83" s="62">
        <f t="shared" si="80"/>
        <v>12811956.781145427</v>
      </c>
      <c r="AF83" s="62">
        <f t="shared" si="80"/>
        <v>12925352.376184225</v>
      </c>
      <c r="AG83" s="62">
        <f t="shared" si="80"/>
        <v>13038500.001564095</v>
      </c>
      <c r="AH83" s="62">
        <f t="shared" si="80"/>
        <v>13151347.523436485</v>
      </c>
      <c r="AI83" s="62">
        <f t="shared" si="80"/>
        <v>13263840.820181005</v>
      </c>
      <c r="AJ83" s="62">
        <f t="shared" si="80"/>
        <v>13375923.722513154</v>
      </c>
      <c r="AK83" s="62">
        <f t="shared" si="80"/>
        <v>13487537.951942842</v>
      </c>
      <c r="AL83" s="62">
        <f t="shared" si="80"/>
        <v>13598623.057540135</v>
      </c>
      <c r="AM83" s="62">
        <f t="shared" si="80"/>
        <v>13709116.350963663</v>
      </c>
      <c r="AN83" s="62">
        <f t="shared" si="80"/>
        <v>13818952.839705851</v>
      </c>
      <c r="AO83" s="62">
        <f t="shared" si="80"/>
        <v>13928065.158508116</v>
      </c>
      <c r="AP83" s="62">
        <f t="shared" si="80"/>
        <v>14036383.49889781</v>
      </c>
      <c r="AQ83" s="62">
        <f t="shared" si="80"/>
        <v>14143835.536797505</v>
      </c>
      <c r="AR83" s="62">
        <f t="shared" si="80"/>
        <v>14250346.358156057</v>
      </c>
      <c r="AS83" s="62">
        <f t="shared" si="80"/>
        <v>14355838.38254936</v>
      </c>
      <c r="AT83" s="62">
        <f t="shared" si="80"/>
        <v>14460231.28469754</v>
      </c>
      <c r="AU83" s="62">
        <f t="shared" si="80"/>
        <v>0</v>
      </c>
    </row>
    <row r="84" spans="2:47" s="57" customFormat="1" x14ac:dyDescent="0.35">
      <c r="B84" s="77"/>
      <c r="C84" s="91"/>
      <c r="D84" s="57" t="s">
        <v>43</v>
      </c>
      <c r="E84" s="58"/>
      <c r="F84" s="58"/>
      <c r="G84" s="58"/>
      <c r="H84" s="58"/>
      <c r="I84" s="58"/>
      <c r="J84" s="84">
        <f>AVERAGE(K84:AU84)</f>
        <v>0.61153327235128951</v>
      </c>
      <c r="K84" s="85">
        <f>IFERROR(K83/K$81,0)</f>
        <v>0</v>
      </c>
      <c r="L84" s="85">
        <f t="shared" ref="L84:AU84" si="81">IFERROR(L83/L$81,0)</f>
        <v>0.75811695637289056</v>
      </c>
      <c r="M84" s="85">
        <f t="shared" si="81"/>
        <v>0.75217610306645333</v>
      </c>
      <c r="N84" s="85">
        <f t="shared" si="81"/>
        <v>0.74610926582707893</v>
      </c>
      <c r="O84" s="85">
        <f t="shared" si="81"/>
        <v>0.73991450417208282</v>
      </c>
      <c r="P84" s="85">
        <f t="shared" si="81"/>
        <v>0.73358987206097737</v>
      </c>
      <c r="Q84" s="85">
        <f t="shared" si="81"/>
        <v>0.72713341865227377</v>
      </c>
      <c r="R84" s="85">
        <f t="shared" si="81"/>
        <v>0.72054318907230397</v>
      </c>
      <c r="S84" s="85">
        <f t="shared" si="81"/>
        <v>0.71381722519502822</v>
      </c>
      <c r="T84" s="85">
        <f t="shared" si="81"/>
        <v>0.70695356643174068</v>
      </c>
      <c r="U84" s="85">
        <f t="shared" si="81"/>
        <v>0.69995025052953408</v>
      </c>
      <c r="V84" s="85">
        <f t="shared" si="81"/>
        <v>0.65735604938210679</v>
      </c>
      <c r="W84" s="85">
        <f t="shared" si="81"/>
        <v>0.65394615293788472</v>
      </c>
      <c r="X84" s="85">
        <f t="shared" si="81"/>
        <v>0.65050232216113124</v>
      </c>
      <c r="Y84" s="85">
        <f t="shared" si="81"/>
        <v>0.64702421934689092</v>
      </c>
      <c r="Z84" s="85">
        <f t="shared" si="81"/>
        <v>0.64351150342946406</v>
      </c>
      <c r="AA84" s="85">
        <f t="shared" si="81"/>
        <v>0.63996382994896128</v>
      </c>
      <c r="AB84" s="85">
        <f t="shared" si="81"/>
        <v>0.63638085101752428</v>
      </c>
      <c r="AC84" s="85">
        <f t="shared" si="81"/>
        <v>0.63276221528521281</v>
      </c>
      <c r="AD84" s="85">
        <f t="shared" si="81"/>
        <v>0.62910756790555022</v>
      </c>
      <c r="AE84" s="85">
        <f t="shared" si="81"/>
        <v>0.62541655050072831</v>
      </c>
      <c r="AF84" s="85">
        <f t="shared" si="81"/>
        <v>0.6216888011264623</v>
      </c>
      <c r="AG84" s="85">
        <f t="shared" si="81"/>
        <v>0.61792395423650015</v>
      </c>
      <c r="AH84" s="85">
        <f t="shared" si="81"/>
        <v>0.61412164064677555</v>
      </c>
      <c r="AI84" s="85">
        <f t="shared" si="81"/>
        <v>0.61028148749920674</v>
      </c>
      <c r="AJ84" s="85">
        <f t="shared" si="81"/>
        <v>0.6064031182251326</v>
      </c>
      <c r="AK84" s="85">
        <f t="shared" si="81"/>
        <v>0.602486152508386</v>
      </c>
      <c r="AL84" s="85">
        <f t="shared" si="81"/>
        <v>0.59853020624800057</v>
      </c>
      <c r="AM84" s="85">
        <f t="shared" si="81"/>
        <v>0.59453489152054462</v>
      </c>
      <c r="AN84" s="85">
        <f t="shared" si="81"/>
        <v>0.59049981654208117</v>
      </c>
      <c r="AO84" s="85">
        <f t="shared" si="81"/>
        <v>0.58642458562974997</v>
      </c>
      <c r="AP84" s="85">
        <f t="shared" si="81"/>
        <v>0.58230879916296563</v>
      </c>
      <c r="AQ84" s="85">
        <f t="shared" si="81"/>
        <v>0.57815205354423072</v>
      </c>
      <c r="AR84" s="85">
        <f t="shared" si="81"/>
        <v>0.57395394115955922</v>
      </c>
      <c r="AS84" s="85">
        <f t="shared" si="81"/>
        <v>0.56971405033850453</v>
      </c>
      <c r="AT84" s="85">
        <f t="shared" si="81"/>
        <v>0.5654319653137917</v>
      </c>
      <c r="AU84" s="85">
        <f t="shared" si="81"/>
        <v>0</v>
      </c>
    </row>
    <row r="85" spans="2:47" x14ac:dyDescent="0.35">
      <c r="D85" s="8" t="str">
        <f>D75</f>
        <v>Depreciation expense</v>
      </c>
      <c r="I85" s="16" t="s">
        <v>114</v>
      </c>
      <c r="J85" s="61">
        <f>SUM(K85:AU85)</f>
        <v>-228568629.83882549</v>
      </c>
      <c r="K85" s="38">
        <f>-K75</f>
        <v>0</v>
      </c>
      <c r="L85" s="38">
        <f t="shared" ref="L85:AU85" si="82">-L75</f>
        <v>-11428431.491941275</v>
      </c>
      <c r="M85" s="38">
        <f t="shared" si="82"/>
        <v>-11428431.491941275</v>
      </c>
      <c r="N85" s="38">
        <f t="shared" si="82"/>
        <v>-11428431.491941275</v>
      </c>
      <c r="O85" s="38">
        <f t="shared" si="82"/>
        <v>-11428431.491941275</v>
      </c>
      <c r="P85" s="38">
        <f t="shared" si="82"/>
        <v>-11428431.491941275</v>
      </c>
      <c r="Q85" s="38">
        <f t="shared" si="82"/>
        <v>-11428431.491941275</v>
      </c>
      <c r="R85" s="38">
        <f t="shared" si="82"/>
        <v>-11428431.491941275</v>
      </c>
      <c r="S85" s="38">
        <f t="shared" si="82"/>
        <v>-11428431.491941275</v>
      </c>
      <c r="T85" s="38">
        <f t="shared" si="82"/>
        <v>-11428431.491941275</v>
      </c>
      <c r="U85" s="38">
        <f t="shared" si="82"/>
        <v>-11428431.491941275</v>
      </c>
      <c r="V85" s="38">
        <f t="shared" si="82"/>
        <v>-11428431.491941275</v>
      </c>
      <c r="W85" s="38">
        <f t="shared" si="82"/>
        <v>-11428431.491941275</v>
      </c>
      <c r="X85" s="38">
        <f t="shared" si="82"/>
        <v>-11428431.491941275</v>
      </c>
      <c r="Y85" s="38">
        <f t="shared" si="82"/>
        <v>-11428431.491941275</v>
      </c>
      <c r="Z85" s="38">
        <f t="shared" si="82"/>
        <v>-11428431.491941275</v>
      </c>
      <c r="AA85" s="38">
        <f t="shared" si="82"/>
        <v>-11428431.491941275</v>
      </c>
      <c r="AB85" s="38">
        <f t="shared" si="82"/>
        <v>-11428431.491941275</v>
      </c>
      <c r="AC85" s="38">
        <f t="shared" si="82"/>
        <v>-11428431.491941275</v>
      </c>
      <c r="AD85" s="38">
        <f t="shared" si="82"/>
        <v>-11428431.491941275</v>
      </c>
      <c r="AE85" s="38">
        <f t="shared" si="82"/>
        <v>-11428431.491941275</v>
      </c>
      <c r="AF85" s="38">
        <f t="shared" si="82"/>
        <v>0</v>
      </c>
      <c r="AG85" s="38">
        <f t="shared" si="82"/>
        <v>0</v>
      </c>
      <c r="AH85" s="38">
        <f t="shared" si="82"/>
        <v>0</v>
      </c>
      <c r="AI85" s="38">
        <f t="shared" si="82"/>
        <v>0</v>
      </c>
      <c r="AJ85" s="38">
        <f t="shared" si="82"/>
        <v>0</v>
      </c>
      <c r="AK85" s="38">
        <f t="shared" si="82"/>
        <v>0</v>
      </c>
      <c r="AL85" s="38">
        <f t="shared" si="82"/>
        <v>0</v>
      </c>
      <c r="AM85" s="38">
        <f t="shared" si="82"/>
        <v>0</v>
      </c>
      <c r="AN85" s="38">
        <f t="shared" si="82"/>
        <v>0</v>
      </c>
      <c r="AO85" s="38">
        <f t="shared" si="82"/>
        <v>0</v>
      </c>
      <c r="AP85" s="38">
        <f t="shared" si="82"/>
        <v>0</v>
      </c>
      <c r="AQ85" s="38">
        <f t="shared" si="82"/>
        <v>0</v>
      </c>
      <c r="AR85" s="38">
        <f t="shared" si="82"/>
        <v>0</v>
      </c>
      <c r="AS85" s="38">
        <f t="shared" si="82"/>
        <v>0</v>
      </c>
      <c r="AT85" s="38">
        <f t="shared" si="82"/>
        <v>0</v>
      </c>
      <c r="AU85" s="38">
        <f t="shared" si="82"/>
        <v>0</v>
      </c>
    </row>
    <row r="86" spans="2:47" x14ac:dyDescent="0.35">
      <c r="D86" s="39" t="s">
        <v>76</v>
      </c>
      <c r="E86" s="18"/>
      <c r="F86" s="18"/>
      <c r="G86" s="18"/>
      <c r="H86" s="18"/>
      <c r="I86" s="18" t="s">
        <v>114</v>
      </c>
      <c r="J86" s="83">
        <f>SUM(K86:AU86)</f>
        <v>245215036.0974521</v>
      </c>
      <c r="K86" s="62">
        <f>SUM(K83,K85)</f>
        <v>0</v>
      </c>
      <c r="L86" s="62">
        <f t="shared" ref="L86:AU86" si="83">SUM(L83,L85)</f>
        <v>3615869.8200587239</v>
      </c>
      <c r="M86" s="62">
        <f t="shared" si="83"/>
        <v>3504375.524967527</v>
      </c>
      <c r="N86" s="62">
        <f t="shared" si="83"/>
        <v>3391443.8368026633</v>
      </c>
      <c r="O86" s="62">
        <f t="shared" si="83"/>
        <v>3277015.8590477351</v>
      </c>
      <c r="P86" s="62">
        <f t="shared" si="83"/>
        <v>3161031.0960250255</v>
      </c>
      <c r="Q86" s="62">
        <f t="shared" si="83"/>
        <v>3043427.4099510349</v>
      </c>
      <c r="R86" s="62">
        <f t="shared" si="83"/>
        <v>2924140.9768795911</v>
      </c>
      <c r="S86" s="62">
        <f t="shared" si="83"/>
        <v>2803106.2415041085</v>
      </c>
      <c r="T86" s="62">
        <f t="shared" si="83"/>
        <v>2680255.8707898762</v>
      </c>
      <c r="U86" s="62">
        <f t="shared" si="83"/>
        <v>2555520.706406584</v>
      </c>
      <c r="V86" s="62">
        <f t="shared" si="83"/>
        <v>359496.83186766878</v>
      </c>
      <c r="W86" s="62">
        <f t="shared" si="83"/>
        <v>473078.46518977545</v>
      </c>
      <c r="X86" s="62">
        <f t="shared" si="83"/>
        <v>586801.00238082744</v>
      </c>
      <c r="Y86" s="62">
        <f t="shared" si="83"/>
        <v>700627.75634676777</v>
      </c>
      <c r="Z86" s="62">
        <f t="shared" si="83"/>
        <v>814520.52369181253</v>
      </c>
      <c r="AA86" s="62">
        <f t="shared" si="83"/>
        <v>928439.53788393922</v>
      </c>
      <c r="AB86" s="62">
        <f t="shared" si="83"/>
        <v>1042343.4211165104</v>
      </c>
      <c r="AC86" s="62">
        <f t="shared" si="83"/>
        <v>1156189.1348314509</v>
      </c>
      <c r="AD86" s="62">
        <f t="shared" si="83"/>
        <v>1269931.9288684931</v>
      </c>
      <c r="AE86" s="62">
        <f t="shared" si="83"/>
        <v>1383525.2892041523</v>
      </c>
      <c r="AF86" s="62">
        <f t="shared" si="83"/>
        <v>12925352.376184225</v>
      </c>
      <c r="AG86" s="62">
        <f t="shared" si="83"/>
        <v>13038500.001564095</v>
      </c>
      <c r="AH86" s="62">
        <f t="shared" si="83"/>
        <v>13151347.523436485</v>
      </c>
      <c r="AI86" s="62">
        <f t="shared" si="83"/>
        <v>13263840.820181005</v>
      </c>
      <c r="AJ86" s="62">
        <f t="shared" si="83"/>
        <v>13375923.722513154</v>
      </c>
      <c r="AK86" s="62">
        <f t="shared" si="83"/>
        <v>13487537.951942842</v>
      </c>
      <c r="AL86" s="62">
        <f t="shared" si="83"/>
        <v>13598623.057540135</v>
      </c>
      <c r="AM86" s="62">
        <f t="shared" si="83"/>
        <v>13709116.350963663</v>
      </c>
      <c r="AN86" s="62">
        <f t="shared" si="83"/>
        <v>13818952.839705851</v>
      </c>
      <c r="AO86" s="62">
        <f t="shared" si="83"/>
        <v>13928065.158508116</v>
      </c>
      <c r="AP86" s="62">
        <f t="shared" si="83"/>
        <v>14036383.49889781</v>
      </c>
      <c r="AQ86" s="62">
        <f t="shared" si="83"/>
        <v>14143835.536797505</v>
      </c>
      <c r="AR86" s="62">
        <f t="shared" si="83"/>
        <v>14250346.358156057</v>
      </c>
      <c r="AS86" s="62">
        <f t="shared" si="83"/>
        <v>14355838.38254936</v>
      </c>
      <c r="AT86" s="62">
        <f t="shared" si="83"/>
        <v>14460231.28469754</v>
      </c>
      <c r="AU86" s="62">
        <f t="shared" si="83"/>
        <v>0</v>
      </c>
    </row>
    <row r="87" spans="2:47" s="57" customFormat="1" x14ac:dyDescent="0.35">
      <c r="B87" s="77"/>
      <c r="C87" s="91"/>
      <c r="D87" s="57" t="s">
        <v>43</v>
      </c>
      <c r="E87" s="58"/>
      <c r="F87" s="58"/>
      <c r="G87" s="58"/>
      <c r="H87" s="58"/>
      <c r="I87" s="58"/>
      <c r="J87" s="84">
        <f>AVERAGE(K87:AU87)</f>
        <v>0.29503093038384726</v>
      </c>
      <c r="K87" s="85">
        <f>IFERROR(K86/K$81,0)</f>
        <v>0</v>
      </c>
      <c r="L87" s="85">
        <f t="shared" ref="L87" si="84">IFERROR(L86/L$81,0)</f>
        <v>0.18221199946566927</v>
      </c>
      <c r="M87" s="85">
        <f t="shared" ref="M87" si="85">IFERROR(M86/M$81,0)</f>
        <v>0.17651788595853579</v>
      </c>
      <c r="N87" s="85">
        <f t="shared" ref="N87" si="86">IFERROR(N86/N$81,0)</f>
        <v>0.1707428446623154</v>
      </c>
      <c r="O87" s="85">
        <f t="shared" ref="O87" si="87">IFERROR(O86/O$81,0)</f>
        <v>0.16488526371476103</v>
      </c>
      <c r="P87" s="85">
        <f t="shared" ref="P87" si="88">IFERROR(P86/P$81,0)</f>
        <v>0.15894351031315218</v>
      </c>
      <c r="Q87" s="85">
        <f t="shared" ref="Q87" si="89">IFERROR(Q86/Q$81,0)</f>
        <v>0.15291593098163547</v>
      </c>
      <c r="R87" s="85">
        <f t="shared" ref="R87" si="90">IFERROR(R86/R$81,0)</f>
        <v>0.1468008518580865</v>
      </c>
      <c r="S87" s="85">
        <f t="shared" ref="S87" si="91">IFERROR(S86/S$81,0)</f>
        <v>0.14059657900038594</v>
      </c>
      <c r="T87" s="85">
        <f t="shared" ref="T87" si="92">IFERROR(T86/T$81,0)</f>
        <v>0.13430139871195759</v>
      </c>
      <c r="U87" s="85">
        <f t="shared" ref="U87" si="93">IFERROR(U86/U$81,0)</f>
        <v>0.12791357788637403</v>
      </c>
      <c r="V87" s="85">
        <f t="shared" ref="V87" si="94">IFERROR(V86/V$81,0)</f>
        <v>2.0047408727842921E-2</v>
      </c>
      <c r="W87" s="85">
        <f t="shared" ref="W87" si="95">IFERROR(W86/W$81,0)</f>
        <v>2.5993999371756032E-2</v>
      </c>
      <c r="X87" s="85">
        <f t="shared" ref="X87" si="96">IFERROR(X86/X$81,0)</f>
        <v>3.1769290762837132E-2</v>
      </c>
      <c r="Y87" s="85">
        <f t="shared" ref="Y87" si="97">IFERROR(Y86/Y$81,0)</f>
        <v>3.7374961884782239E-2</v>
      </c>
      <c r="Z87" s="85">
        <f t="shared" ref="Z87" si="98">IFERROR(Z86/Z$81,0)</f>
        <v>4.2812658753034291E-2</v>
      </c>
      <c r="AA87" s="85">
        <f t="shared" ref="AA87" si="99">IFERROR(AA86/AA$81,0)</f>
        <v>4.8083994816012401E-2</v>
      </c>
      <c r="AB87" s="85">
        <f t="shared" ref="AB87" si="100">IFERROR(AB86/AB$81,0)</f>
        <v>5.3190551349627177E-2</v>
      </c>
      <c r="AC87" s="85">
        <f t="shared" ref="AC87" si="101">IFERROR(AC86/AC$81,0)</f>
        <v>5.8133877845172391E-2</v>
      </c>
      <c r="AD87" s="85">
        <f t="shared" ref="AD87" si="102">IFERROR(AD86/AD$81,0)</f>
        <v>6.2915492390681241E-2</v>
      </c>
      <c r="AE87" s="85">
        <f t="shared" ref="AE87" si="103">IFERROR(AE86/AE$81,0)</f>
        <v>6.7536882045837257E-2</v>
      </c>
      <c r="AF87" s="85">
        <f t="shared" ref="AF87" si="104">IFERROR(AF86/AF$81,0)</f>
        <v>0.6216888011264623</v>
      </c>
      <c r="AG87" s="85">
        <f t="shared" ref="AG87" si="105">IFERROR(AG86/AG$81,0)</f>
        <v>0.61792395423650015</v>
      </c>
      <c r="AH87" s="85">
        <f t="shared" ref="AH87" si="106">IFERROR(AH86/AH$81,0)</f>
        <v>0.61412164064677555</v>
      </c>
      <c r="AI87" s="85">
        <f t="shared" ref="AI87" si="107">IFERROR(AI86/AI$81,0)</f>
        <v>0.61028148749920674</v>
      </c>
      <c r="AJ87" s="85">
        <f t="shared" ref="AJ87" si="108">IFERROR(AJ86/AJ$81,0)</f>
        <v>0.6064031182251326</v>
      </c>
      <c r="AK87" s="85">
        <f t="shared" ref="AK87" si="109">IFERROR(AK86/AK$81,0)</f>
        <v>0.602486152508386</v>
      </c>
      <c r="AL87" s="85">
        <f t="shared" ref="AL87" si="110">IFERROR(AL86/AL$81,0)</f>
        <v>0.59853020624800057</v>
      </c>
      <c r="AM87" s="85">
        <f t="shared" ref="AM87" si="111">IFERROR(AM86/AM$81,0)</f>
        <v>0.59453489152054462</v>
      </c>
      <c r="AN87" s="85">
        <f t="shared" ref="AN87" si="112">IFERROR(AN86/AN$81,0)</f>
        <v>0.59049981654208117</v>
      </c>
      <c r="AO87" s="85">
        <f t="shared" ref="AO87" si="113">IFERROR(AO86/AO$81,0)</f>
        <v>0.58642458562974997</v>
      </c>
      <c r="AP87" s="85">
        <f t="shared" ref="AP87" si="114">IFERROR(AP86/AP$81,0)</f>
        <v>0.58230879916296563</v>
      </c>
      <c r="AQ87" s="85">
        <f t="shared" ref="AQ87" si="115">IFERROR(AQ86/AQ$81,0)</f>
        <v>0.57815205354423072</v>
      </c>
      <c r="AR87" s="85">
        <f t="shared" ref="AR87" si="116">IFERROR(AR86/AR$81,0)</f>
        <v>0.57395394115955922</v>
      </c>
      <c r="AS87" s="85">
        <f t="shared" ref="AS87" si="117">IFERROR(AS86/AS$81,0)</f>
        <v>0.56971405033850453</v>
      </c>
      <c r="AT87" s="85">
        <f t="shared" ref="AT87" si="118">IFERROR(AT86/AT$81,0)</f>
        <v>0.5654319653137917</v>
      </c>
      <c r="AU87" s="85">
        <f t="shared" ref="AU87" si="119">IFERROR(AU86/AU$81,0)</f>
        <v>0</v>
      </c>
    </row>
    <row r="88" spans="2:47" s="42" customFormat="1" x14ac:dyDescent="0.35">
      <c r="B88" s="43"/>
      <c r="C88" s="89"/>
      <c r="D88" s="42" t="s">
        <v>60</v>
      </c>
      <c r="E88" s="47"/>
      <c r="F88" s="47"/>
      <c r="G88" s="47"/>
      <c r="H88" s="47"/>
      <c r="I88" s="47" t="s">
        <v>114</v>
      </c>
      <c r="J88" s="87">
        <f>SUM(K88:AU88)</f>
        <v>-38426692.397569783</v>
      </c>
      <c r="K88" s="121">
        <f>-K162</f>
        <v>0</v>
      </c>
      <c r="L88" s="121">
        <f t="shared" ref="L88:AU88" si="120">-L162</f>
        <v>-8568629.8388254847</v>
      </c>
      <c r="M88" s="121">
        <f t="shared" si="120"/>
        <v>-8147711.1930691414</v>
      </c>
      <c r="N88" s="121">
        <f t="shared" si="120"/>
        <v>-7706679.9645195631</v>
      </c>
      <c r="O88" s="121">
        <f t="shared" si="120"/>
        <v>-7244322.2658449784</v>
      </c>
      <c r="P88" s="121">
        <f t="shared" si="120"/>
        <v>-6759349.1353106163</v>
      </c>
      <c r="Q88" s="121">
        <f t="shared" si="120"/>
        <v>0</v>
      </c>
      <c r="R88" s="121">
        <f t="shared" si="120"/>
        <v>0</v>
      </c>
      <c r="S88" s="121">
        <f t="shared" si="120"/>
        <v>0</v>
      </c>
      <c r="T88" s="121">
        <f t="shared" si="120"/>
        <v>0</v>
      </c>
      <c r="U88" s="121">
        <f t="shared" si="120"/>
        <v>0</v>
      </c>
      <c r="V88" s="121">
        <f t="shared" si="120"/>
        <v>0</v>
      </c>
      <c r="W88" s="121">
        <f t="shared" si="120"/>
        <v>0</v>
      </c>
      <c r="X88" s="121">
        <f t="shared" si="120"/>
        <v>0</v>
      </c>
      <c r="Y88" s="121">
        <f t="shared" si="120"/>
        <v>0</v>
      </c>
      <c r="Z88" s="121">
        <f t="shared" si="120"/>
        <v>0</v>
      </c>
      <c r="AA88" s="121">
        <f t="shared" si="120"/>
        <v>0</v>
      </c>
      <c r="AB88" s="121">
        <f t="shared" si="120"/>
        <v>0</v>
      </c>
      <c r="AC88" s="121">
        <f t="shared" si="120"/>
        <v>0</v>
      </c>
      <c r="AD88" s="121">
        <f t="shared" si="120"/>
        <v>0</v>
      </c>
      <c r="AE88" s="121">
        <f t="shared" si="120"/>
        <v>0</v>
      </c>
      <c r="AF88" s="121">
        <f t="shared" si="120"/>
        <v>0</v>
      </c>
      <c r="AG88" s="121">
        <f t="shared" si="120"/>
        <v>0</v>
      </c>
      <c r="AH88" s="121">
        <f t="shared" si="120"/>
        <v>0</v>
      </c>
      <c r="AI88" s="121">
        <f t="shared" si="120"/>
        <v>0</v>
      </c>
      <c r="AJ88" s="121">
        <f t="shared" si="120"/>
        <v>0</v>
      </c>
      <c r="AK88" s="121">
        <f t="shared" si="120"/>
        <v>0</v>
      </c>
      <c r="AL88" s="121">
        <f t="shared" si="120"/>
        <v>0</v>
      </c>
      <c r="AM88" s="121">
        <f t="shared" si="120"/>
        <v>0</v>
      </c>
      <c r="AN88" s="121">
        <f t="shared" si="120"/>
        <v>0</v>
      </c>
      <c r="AO88" s="121">
        <f t="shared" si="120"/>
        <v>0</v>
      </c>
      <c r="AP88" s="121">
        <f t="shared" si="120"/>
        <v>0</v>
      </c>
      <c r="AQ88" s="121">
        <f t="shared" si="120"/>
        <v>0</v>
      </c>
      <c r="AR88" s="121">
        <f t="shared" si="120"/>
        <v>0</v>
      </c>
      <c r="AS88" s="121">
        <f t="shared" si="120"/>
        <v>0</v>
      </c>
      <c r="AT88" s="121">
        <f t="shared" si="120"/>
        <v>0</v>
      </c>
      <c r="AU88" s="121">
        <f t="shared" si="120"/>
        <v>0</v>
      </c>
    </row>
    <row r="89" spans="2:47" x14ac:dyDescent="0.35">
      <c r="D89" s="39" t="s">
        <v>174</v>
      </c>
      <c r="E89" s="18"/>
      <c r="F89" s="18"/>
      <c r="G89" s="18"/>
      <c r="H89" s="18"/>
      <c r="I89" s="18" t="s">
        <v>114</v>
      </c>
      <c r="J89" s="83">
        <f t="shared" ref="J89" si="121">SUM(K89:AU89)</f>
        <v>206788343.69988233</v>
      </c>
      <c r="K89" s="62">
        <f t="shared" ref="K89:AU89" si="122">SUM(K86,K88:K88)</f>
        <v>0</v>
      </c>
      <c r="L89" s="62">
        <f t="shared" si="122"/>
        <v>-4952760.0187667608</v>
      </c>
      <c r="M89" s="62">
        <f t="shared" si="122"/>
        <v>-4643335.6681016143</v>
      </c>
      <c r="N89" s="62">
        <f t="shared" si="122"/>
        <v>-4315236.1277168998</v>
      </c>
      <c r="O89" s="62">
        <f t="shared" si="122"/>
        <v>-3967306.4067972433</v>
      </c>
      <c r="P89" s="62">
        <f t="shared" si="122"/>
        <v>-3598318.0392855909</v>
      </c>
      <c r="Q89" s="62">
        <f t="shared" si="122"/>
        <v>3043427.4099510349</v>
      </c>
      <c r="R89" s="62">
        <f t="shared" si="122"/>
        <v>2924140.9768795911</v>
      </c>
      <c r="S89" s="62">
        <f t="shared" si="122"/>
        <v>2803106.2415041085</v>
      </c>
      <c r="T89" s="62">
        <f t="shared" si="122"/>
        <v>2680255.8707898762</v>
      </c>
      <c r="U89" s="62">
        <f t="shared" si="122"/>
        <v>2555520.706406584</v>
      </c>
      <c r="V89" s="62">
        <f t="shared" si="122"/>
        <v>359496.83186766878</v>
      </c>
      <c r="W89" s="62">
        <f t="shared" si="122"/>
        <v>473078.46518977545</v>
      </c>
      <c r="X89" s="62">
        <f t="shared" si="122"/>
        <v>586801.00238082744</v>
      </c>
      <c r="Y89" s="62">
        <f t="shared" si="122"/>
        <v>700627.75634676777</v>
      </c>
      <c r="Z89" s="62">
        <f t="shared" si="122"/>
        <v>814520.52369181253</v>
      </c>
      <c r="AA89" s="62">
        <f t="shared" si="122"/>
        <v>928439.53788393922</v>
      </c>
      <c r="AB89" s="62">
        <f t="shared" si="122"/>
        <v>1042343.4211165104</v>
      </c>
      <c r="AC89" s="62">
        <f t="shared" si="122"/>
        <v>1156189.1348314509</v>
      </c>
      <c r="AD89" s="62">
        <f t="shared" si="122"/>
        <v>1269931.9288684931</v>
      </c>
      <c r="AE89" s="62">
        <f t="shared" si="122"/>
        <v>1383525.2892041523</v>
      </c>
      <c r="AF89" s="62">
        <f t="shared" si="122"/>
        <v>12925352.376184225</v>
      </c>
      <c r="AG89" s="62">
        <f t="shared" si="122"/>
        <v>13038500.001564095</v>
      </c>
      <c r="AH89" s="62">
        <f t="shared" si="122"/>
        <v>13151347.523436485</v>
      </c>
      <c r="AI89" s="62">
        <f t="shared" si="122"/>
        <v>13263840.820181005</v>
      </c>
      <c r="AJ89" s="62">
        <f t="shared" si="122"/>
        <v>13375923.722513154</v>
      </c>
      <c r="AK89" s="62">
        <f t="shared" si="122"/>
        <v>13487537.951942842</v>
      </c>
      <c r="AL89" s="62">
        <f t="shared" si="122"/>
        <v>13598623.057540135</v>
      </c>
      <c r="AM89" s="62">
        <f t="shared" si="122"/>
        <v>13709116.350963663</v>
      </c>
      <c r="AN89" s="62">
        <f t="shared" si="122"/>
        <v>13818952.839705851</v>
      </c>
      <c r="AO89" s="62">
        <f t="shared" si="122"/>
        <v>13928065.158508116</v>
      </c>
      <c r="AP89" s="62">
        <f t="shared" si="122"/>
        <v>14036383.49889781</v>
      </c>
      <c r="AQ89" s="62">
        <f t="shared" si="122"/>
        <v>14143835.536797505</v>
      </c>
      <c r="AR89" s="62">
        <f t="shared" si="122"/>
        <v>14250346.358156057</v>
      </c>
      <c r="AS89" s="62">
        <f t="shared" si="122"/>
        <v>14355838.38254936</v>
      </c>
      <c r="AT89" s="62">
        <f t="shared" si="122"/>
        <v>14460231.28469754</v>
      </c>
      <c r="AU89" s="62">
        <f t="shared" si="122"/>
        <v>0</v>
      </c>
    </row>
    <row r="90" spans="2:47" x14ac:dyDescent="0.35">
      <c r="D90" s="42"/>
      <c r="E90" s="47"/>
      <c r="F90" s="47"/>
      <c r="G90" s="47"/>
      <c r="H90" s="47"/>
      <c r="I90" s="47"/>
      <c r="J90" s="114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</row>
    <row r="91" spans="2:47" x14ac:dyDescent="0.35">
      <c r="C91" s="5" t="s">
        <v>193</v>
      </c>
      <c r="D91" s="42"/>
      <c r="E91" s="47"/>
      <c r="F91" s="47"/>
      <c r="G91" s="47"/>
      <c r="H91" s="47"/>
      <c r="I91" s="47"/>
      <c r="J91" s="114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</row>
    <row r="92" spans="2:47" x14ac:dyDescent="0.35">
      <c r="D92" s="120" t="s">
        <v>12</v>
      </c>
      <c r="E92" s="47"/>
      <c r="F92" s="47"/>
      <c r="G92" s="47"/>
      <c r="H92" s="47"/>
      <c r="I92" s="47" t="s">
        <v>114</v>
      </c>
      <c r="J92" s="114"/>
      <c r="K92" s="121">
        <v>0</v>
      </c>
      <c r="L92" s="121">
        <f>K95</f>
        <v>0</v>
      </c>
      <c r="M92" s="121">
        <f t="shared" ref="M92:AU92" si="123">L95</f>
        <v>4952760.0187667608</v>
      </c>
      <c r="N92" s="121">
        <f t="shared" si="123"/>
        <v>9596095.6868683752</v>
      </c>
      <c r="O92" s="121">
        <f t="shared" si="123"/>
        <v>13911331.814585276</v>
      </c>
      <c r="P92" s="121">
        <f t="shared" si="123"/>
        <v>17878638.221382521</v>
      </c>
      <c r="Q92" s="121">
        <f t="shared" si="123"/>
        <v>21476956.260668114</v>
      </c>
      <c r="R92" s="121">
        <f t="shared" si="123"/>
        <v>18433528.850717079</v>
      </c>
      <c r="S92" s="121">
        <f t="shared" si="123"/>
        <v>15509387.873837488</v>
      </c>
      <c r="T92" s="121">
        <f t="shared" si="123"/>
        <v>12706281.632333379</v>
      </c>
      <c r="U92" s="121">
        <f t="shared" si="123"/>
        <v>10026025.761543503</v>
      </c>
      <c r="V92" s="121">
        <f t="shared" si="123"/>
        <v>7470505.055136919</v>
      </c>
      <c r="W92" s="121">
        <f t="shared" si="123"/>
        <v>7111008.2232692502</v>
      </c>
      <c r="X92" s="121">
        <f t="shared" si="123"/>
        <v>6637929.7580794748</v>
      </c>
      <c r="Y92" s="121">
        <f t="shared" si="123"/>
        <v>6051128.7556986474</v>
      </c>
      <c r="Z92" s="121">
        <f t="shared" si="123"/>
        <v>5350500.9993518796</v>
      </c>
      <c r="AA92" s="121">
        <f t="shared" si="123"/>
        <v>4535980.4756600671</v>
      </c>
      <c r="AB92" s="121">
        <f t="shared" si="123"/>
        <v>3607540.9377761278</v>
      </c>
      <c r="AC92" s="121">
        <f t="shared" si="123"/>
        <v>2565197.5166596174</v>
      </c>
      <c r="AD92" s="121">
        <f t="shared" si="123"/>
        <v>1409008.3818281665</v>
      </c>
      <c r="AE92" s="121">
        <f t="shared" si="123"/>
        <v>139076.45295967348</v>
      </c>
      <c r="AF92" s="121">
        <f t="shared" si="123"/>
        <v>0</v>
      </c>
      <c r="AG92" s="121">
        <f t="shared" si="123"/>
        <v>0</v>
      </c>
      <c r="AH92" s="121">
        <f t="shared" si="123"/>
        <v>0</v>
      </c>
      <c r="AI92" s="121">
        <f t="shared" si="123"/>
        <v>0</v>
      </c>
      <c r="AJ92" s="121">
        <f t="shared" si="123"/>
        <v>0</v>
      </c>
      <c r="AK92" s="121">
        <f t="shared" si="123"/>
        <v>0</v>
      </c>
      <c r="AL92" s="121">
        <f t="shared" si="123"/>
        <v>0</v>
      </c>
      <c r="AM92" s="121">
        <f t="shared" si="123"/>
        <v>0</v>
      </c>
      <c r="AN92" s="121">
        <f t="shared" si="123"/>
        <v>0</v>
      </c>
      <c r="AO92" s="121">
        <f t="shared" si="123"/>
        <v>0</v>
      </c>
      <c r="AP92" s="121">
        <f t="shared" si="123"/>
        <v>0</v>
      </c>
      <c r="AQ92" s="121">
        <f t="shared" si="123"/>
        <v>0</v>
      </c>
      <c r="AR92" s="121">
        <f t="shared" si="123"/>
        <v>0</v>
      </c>
      <c r="AS92" s="121">
        <f t="shared" si="123"/>
        <v>0</v>
      </c>
      <c r="AT92" s="121">
        <f t="shared" si="123"/>
        <v>0</v>
      </c>
      <c r="AU92" s="121">
        <f t="shared" si="123"/>
        <v>0</v>
      </c>
    </row>
    <row r="93" spans="2:47" x14ac:dyDescent="0.35">
      <c r="D93" s="120" t="s">
        <v>194</v>
      </c>
      <c r="E93" s="47"/>
      <c r="F93" s="47"/>
      <c r="G93" s="47"/>
      <c r="H93" s="47"/>
      <c r="I93" s="47" t="s">
        <v>114</v>
      </c>
      <c r="J93" s="87">
        <f t="shared" ref="J93:J96" si="124">SUM(K93:AU93)</f>
        <v>21476956.260668114</v>
      </c>
      <c r="K93" s="121">
        <f>-MIN(K89,0)</f>
        <v>0</v>
      </c>
      <c r="L93" s="121">
        <f t="shared" ref="L93:AU93" si="125">-MIN(L89,0)</f>
        <v>4952760.0187667608</v>
      </c>
      <c r="M93" s="121">
        <f t="shared" si="125"/>
        <v>4643335.6681016143</v>
      </c>
      <c r="N93" s="121">
        <f t="shared" si="125"/>
        <v>4315236.1277168998</v>
      </c>
      <c r="O93" s="121">
        <f t="shared" si="125"/>
        <v>3967306.4067972433</v>
      </c>
      <c r="P93" s="121">
        <f t="shared" si="125"/>
        <v>3598318.0392855909</v>
      </c>
      <c r="Q93" s="121">
        <f t="shared" si="125"/>
        <v>0</v>
      </c>
      <c r="R93" s="121">
        <f t="shared" si="125"/>
        <v>0</v>
      </c>
      <c r="S93" s="121">
        <f t="shared" si="125"/>
        <v>0</v>
      </c>
      <c r="T93" s="121">
        <f t="shared" si="125"/>
        <v>0</v>
      </c>
      <c r="U93" s="121">
        <f t="shared" si="125"/>
        <v>0</v>
      </c>
      <c r="V93" s="121">
        <f t="shared" si="125"/>
        <v>0</v>
      </c>
      <c r="W93" s="121">
        <f t="shared" si="125"/>
        <v>0</v>
      </c>
      <c r="X93" s="121">
        <f t="shared" si="125"/>
        <v>0</v>
      </c>
      <c r="Y93" s="121">
        <f t="shared" si="125"/>
        <v>0</v>
      </c>
      <c r="Z93" s="121">
        <f t="shared" si="125"/>
        <v>0</v>
      </c>
      <c r="AA93" s="121">
        <f t="shared" si="125"/>
        <v>0</v>
      </c>
      <c r="AB93" s="121">
        <f t="shared" si="125"/>
        <v>0</v>
      </c>
      <c r="AC93" s="121">
        <f t="shared" si="125"/>
        <v>0</v>
      </c>
      <c r="AD93" s="121">
        <f t="shared" si="125"/>
        <v>0</v>
      </c>
      <c r="AE93" s="121">
        <f t="shared" si="125"/>
        <v>0</v>
      </c>
      <c r="AF93" s="121">
        <f t="shared" si="125"/>
        <v>0</v>
      </c>
      <c r="AG93" s="121">
        <f t="shared" si="125"/>
        <v>0</v>
      </c>
      <c r="AH93" s="121">
        <f t="shared" si="125"/>
        <v>0</v>
      </c>
      <c r="AI93" s="121">
        <f t="shared" si="125"/>
        <v>0</v>
      </c>
      <c r="AJ93" s="121">
        <f t="shared" si="125"/>
        <v>0</v>
      </c>
      <c r="AK93" s="121">
        <f t="shared" si="125"/>
        <v>0</v>
      </c>
      <c r="AL93" s="121">
        <f t="shared" si="125"/>
        <v>0</v>
      </c>
      <c r="AM93" s="121">
        <f t="shared" si="125"/>
        <v>0</v>
      </c>
      <c r="AN93" s="121">
        <f t="shared" si="125"/>
        <v>0</v>
      </c>
      <c r="AO93" s="121">
        <f t="shared" si="125"/>
        <v>0</v>
      </c>
      <c r="AP93" s="121">
        <f t="shared" si="125"/>
        <v>0</v>
      </c>
      <c r="AQ93" s="121">
        <f t="shared" si="125"/>
        <v>0</v>
      </c>
      <c r="AR93" s="121">
        <f t="shared" si="125"/>
        <v>0</v>
      </c>
      <c r="AS93" s="121">
        <f t="shared" si="125"/>
        <v>0</v>
      </c>
      <c r="AT93" s="121">
        <f t="shared" si="125"/>
        <v>0</v>
      </c>
      <c r="AU93" s="121">
        <f t="shared" si="125"/>
        <v>0</v>
      </c>
    </row>
    <row r="94" spans="2:47" x14ac:dyDescent="0.35">
      <c r="D94" s="120" t="s">
        <v>195</v>
      </c>
      <c r="E94" s="47"/>
      <c r="F94" s="47"/>
      <c r="G94" s="47"/>
      <c r="H94" s="47"/>
      <c r="I94" s="47" t="s">
        <v>114</v>
      </c>
      <c r="J94" s="87">
        <f t="shared" si="124"/>
        <v>-21476956.260668114</v>
      </c>
      <c r="K94" s="121">
        <f>-MIN(K92,MAX(K89,0))</f>
        <v>0</v>
      </c>
      <c r="L94" s="121">
        <f t="shared" ref="L94:AU94" si="126">-MIN(L92,MAX(L89,0))</f>
        <v>0</v>
      </c>
      <c r="M94" s="121">
        <f t="shared" si="126"/>
        <v>0</v>
      </c>
      <c r="N94" s="121">
        <f t="shared" si="126"/>
        <v>0</v>
      </c>
      <c r="O94" s="121">
        <f t="shared" si="126"/>
        <v>0</v>
      </c>
      <c r="P94" s="121">
        <f t="shared" si="126"/>
        <v>0</v>
      </c>
      <c r="Q94" s="121">
        <f t="shared" si="126"/>
        <v>-3043427.4099510349</v>
      </c>
      <c r="R94" s="121">
        <f t="shared" si="126"/>
        <v>-2924140.9768795911</v>
      </c>
      <c r="S94" s="121">
        <f t="shared" si="126"/>
        <v>-2803106.2415041085</v>
      </c>
      <c r="T94" s="121">
        <f t="shared" si="126"/>
        <v>-2680255.8707898762</v>
      </c>
      <c r="U94" s="121">
        <f t="shared" si="126"/>
        <v>-2555520.706406584</v>
      </c>
      <c r="V94" s="121">
        <f t="shared" si="126"/>
        <v>-359496.83186766878</v>
      </c>
      <c r="W94" s="121">
        <f t="shared" si="126"/>
        <v>-473078.46518977545</v>
      </c>
      <c r="X94" s="121">
        <f t="shared" si="126"/>
        <v>-586801.00238082744</v>
      </c>
      <c r="Y94" s="121">
        <f t="shared" si="126"/>
        <v>-700627.75634676777</v>
      </c>
      <c r="Z94" s="121">
        <f t="shared" si="126"/>
        <v>-814520.52369181253</v>
      </c>
      <c r="AA94" s="121">
        <f t="shared" si="126"/>
        <v>-928439.53788393922</v>
      </c>
      <c r="AB94" s="121">
        <f t="shared" si="126"/>
        <v>-1042343.4211165104</v>
      </c>
      <c r="AC94" s="121">
        <f t="shared" si="126"/>
        <v>-1156189.1348314509</v>
      </c>
      <c r="AD94" s="121">
        <f t="shared" si="126"/>
        <v>-1269931.9288684931</v>
      </c>
      <c r="AE94" s="121">
        <f t="shared" si="126"/>
        <v>-139076.45295967348</v>
      </c>
      <c r="AF94" s="121">
        <f t="shared" si="126"/>
        <v>0</v>
      </c>
      <c r="AG94" s="121">
        <f t="shared" si="126"/>
        <v>0</v>
      </c>
      <c r="AH94" s="121">
        <f t="shared" si="126"/>
        <v>0</v>
      </c>
      <c r="AI94" s="121">
        <f t="shared" si="126"/>
        <v>0</v>
      </c>
      <c r="AJ94" s="121">
        <f t="shared" si="126"/>
        <v>0</v>
      </c>
      <c r="AK94" s="121">
        <f t="shared" si="126"/>
        <v>0</v>
      </c>
      <c r="AL94" s="121">
        <f t="shared" si="126"/>
        <v>0</v>
      </c>
      <c r="AM94" s="121">
        <f t="shared" si="126"/>
        <v>0</v>
      </c>
      <c r="AN94" s="121">
        <f t="shared" si="126"/>
        <v>0</v>
      </c>
      <c r="AO94" s="121">
        <f t="shared" si="126"/>
        <v>0</v>
      </c>
      <c r="AP94" s="121">
        <f t="shared" si="126"/>
        <v>0</v>
      </c>
      <c r="AQ94" s="121">
        <f t="shared" si="126"/>
        <v>0</v>
      </c>
      <c r="AR94" s="121">
        <f t="shared" si="126"/>
        <v>0</v>
      </c>
      <c r="AS94" s="121">
        <f t="shared" si="126"/>
        <v>0</v>
      </c>
      <c r="AT94" s="121">
        <f t="shared" si="126"/>
        <v>0</v>
      </c>
      <c r="AU94" s="121">
        <f t="shared" si="126"/>
        <v>0</v>
      </c>
    </row>
    <row r="95" spans="2:47" x14ac:dyDescent="0.35">
      <c r="D95" s="45" t="s">
        <v>13</v>
      </c>
      <c r="E95" s="23"/>
      <c r="F95" s="23"/>
      <c r="G95" s="23"/>
      <c r="H95" s="23"/>
      <c r="I95" s="23" t="s">
        <v>114</v>
      </c>
      <c r="J95" s="125"/>
      <c r="K95" s="40">
        <f>SUM(K92:K94)</f>
        <v>0</v>
      </c>
      <c r="L95" s="40">
        <f>SUM(L92:L94)</f>
        <v>4952760.0187667608</v>
      </c>
      <c r="M95" s="40">
        <f t="shared" ref="M95:AU95" si="127">SUM(M92:M94)</f>
        <v>9596095.6868683752</v>
      </c>
      <c r="N95" s="40">
        <f t="shared" si="127"/>
        <v>13911331.814585276</v>
      </c>
      <c r="O95" s="40">
        <f t="shared" si="127"/>
        <v>17878638.221382521</v>
      </c>
      <c r="P95" s="40">
        <f t="shared" si="127"/>
        <v>21476956.260668114</v>
      </c>
      <c r="Q95" s="40">
        <f t="shared" si="127"/>
        <v>18433528.850717079</v>
      </c>
      <c r="R95" s="40">
        <f t="shared" si="127"/>
        <v>15509387.873837488</v>
      </c>
      <c r="S95" s="40">
        <f t="shared" si="127"/>
        <v>12706281.632333379</v>
      </c>
      <c r="T95" s="40">
        <f t="shared" si="127"/>
        <v>10026025.761543503</v>
      </c>
      <c r="U95" s="40">
        <f t="shared" si="127"/>
        <v>7470505.055136919</v>
      </c>
      <c r="V95" s="40">
        <f t="shared" si="127"/>
        <v>7111008.2232692502</v>
      </c>
      <c r="W95" s="40">
        <f t="shared" si="127"/>
        <v>6637929.7580794748</v>
      </c>
      <c r="X95" s="40">
        <f t="shared" si="127"/>
        <v>6051128.7556986474</v>
      </c>
      <c r="Y95" s="40">
        <f t="shared" si="127"/>
        <v>5350500.9993518796</v>
      </c>
      <c r="Z95" s="40">
        <f t="shared" si="127"/>
        <v>4535980.4756600671</v>
      </c>
      <c r="AA95" s="40">
        <f t="shared" si="127"/>
        <v>3607540.9377761278</v>
      </c>
      <c r="AB95" s="40">
        <f t="shared" si="127"/>
        <v>2565197.5166596174</v>
      </c>
      <c r="AC95" s="40">
        <f t="shared" si="127"/>
        <v>1409008.3818281665</v>
      </c>
      <c r="AD95" s="40">
        <f t="shared" si="127"/>
        <v>139076.45295967348</v>
      </c>
      <c r="AE95" s="40">
        <f t="shared" si="127"/>
        <v>0</v>
      </c>
      <c r="AF95" s="40">
        <f t="shared" si="127"/>
        <v>0</v>
      </c>
      <c r="AG95" s="40">
        <f t="shared" si="127"/>
        <v>0</v>
      </c>
      <c r="AH95" s="40">
        <f t="shared" si="127"/>
        <v>0</v>
      </c>
      <c r="AI95" s="40">
        <f t="shared" si="127"/>
        <v>0</v>
      </c>
      <c r="AJ95" s="40">
        <f t="shared" si="127"/>
        <v>0</v>
      </c>
      <c r="AK95" s="40">
        <f t="shared" si="127"/>
        <v>0</v>
      </c>
      <c r="AL95" s="40">
        <f t="shared" si="127"/>
        <v>0</v>
      </c>
      <c r="AM95" s="40">
        <f t="shared" si="127"/>
        <v>0</v>
      </c>
      <c r="AN95" s="40">
        <f t="shared" si="127"/>
        <v>0</v>
      </c>
      <c r="AO95" s="40">
        <f t="shared" si="127"/>
        <v>0</v>
      </c>
      <c r="AP95" s="40">
        <f t="shared" si="127"/>
        <v>0</v>
      </c>
      <c r="AQ95" s="40">
        <f t="shared" si="127"/>
        <v>0</v>
      </c>
      <c r="AR95" s="40">
        <f t="shared" si="127"/>
        <v>0</v>
      </c>
      <c r="AS95" s="40">
        <f t="shared" si="127"/>
        <v>0</v>
      </c>
      <c r="AT95" s="40">
        <f t="shared" si="127"/>
        <v>0</v>
      </c>
      <c r="AU95" s="40">
        <f t="shared" si="127"/>
        <v>0</v>
      </c>
    </row>
    <row r="96" spans="2:47" x14ac:dyDescent="0.35">
      <c r="D96" s="126" t="s">
        <v>196</v>
      </c>
      <c r="E96" s="18"/>
      <c r="F96" s="18"/>
      <c r="G96" s="18"/>
      <c r="H96" s="18"/>
      <c r="I96" s="18" t="s">
        <v>114</v>
      </c>
      <c r="J96" s="83">
        <f t="shared" si="124"/>
        <v>206788343.69988233</v>
      </c>
      <c r="K96" s="62">
        <f>MAX(K89+K94, 0)</f>
        <v>0</v>
      </c>
      <c r="L96" s="62">
        <f t="shared" ref="L96:AU96" si="128">MAX(L89+L94, 0)</f>
        <v>0</v>
      </c>
      <c r="M96" s="62">
        <f t="shared" si="128"/>
        <v>0</v>
      </c>
      <c r="N96" s="62">
        <f t="shared" si="128"/>
        <v>0</v>
      </c>
      <c r="O96" s="62">
        <f t="shared" si="128"/>
        <v>0</v>
      </c>
      <c r="P96" s="62">
        <f t="shared" si="128"/>
        <v>0</v>
      </c>
      <c r="Q96" s="62">
        <f t="shared" si="128"/>
        <v>0</v>
      </c>
      <c r="R96" s="62">
        <f t="shared" si="128"/>
        <v>0</v>
      </c>
      <c r="S96" s="62">
        <f t="shared" si="128"/>
        <v>0</v>
      </c>
      <c r="T96" s="62">
        <f t="shared" si="128"/>
        <v>0</v>
      </c>
      <c r="U96" s="62">
        <f t="shared" si="128"/>
        <v>0</v>
      </c>
      <c r="V96" s="62">
        <f t="shared" si="128"/>
        <v>0</v>
      </c>
      <c r="W96" s="62">
        <f t="shared" si="128"/>
        <v>0</v>
      </c>
      <c r="X96" s="62">
        <f t="shared" si="128"/>
        <v>0</v>
      </c>
      <c r="Y96" s="62">
        <f t="shared" si="128"/>
        <v>0</v>
      </c>
      <c r="Z96" s="62">
        <f t="shared" si="128"/>
        <v>0</v>
      </c>
      <c r="AA96" s="62">
        <f t="shared" si="128"/>
        <v>0</v>
      </c>
      <c r="AB96" s="62">
        <f t="shared" si="128"/>
        <v>0</v>
      </c>
      <c r="AC96" s="62">
        <f t="shared" si="128"/>
        <v>0</v>
      </c>
      <c r="AD96" s="62">
        <f t="shared" si="128"/>
        <v>0</v>
      </c>
      <c r="AE96" s="62">
        <f t="shared" si="128"/>
        <v>1244448.8362444788</v>
      </c>
      <c r="AF96" s="62">
        <f t="shared" si="128"/>
        <v>12925352.376184225</v>
      </c>
      <c r="AG96" s="62">
        <f t="shared" si="128"/>
        <v>13038500.001564095</v>
      </c>
      <c r="AH96" s="62">
        <f t="shared" si="128"/>
        <v>13151347.523436485</v>
      </c>
      <c r="AI96" s="62">
        <f t="shared" si="128"/>
        <v>13263840.820181005</v>
      </c>
      <c r="AJ96" s="62">
        <f t="shared" si="128"/>
        <v>13375923.722513154</v>
      </c>
      <c r="AK96" s="62">
        <f t="shared" si="128"/>
        <v>13487537.951942842</v>
      </c>
      <c r="AL96" s="62">
        <f t="shared" si="128"/>
        <v>13598623.057540135</v>
      </c>
      <c r="AM96" s="62">
        <f t="shared" si="128"/>
        <v>13709116.350963663</v>
      </c>
      <c r="AN96" s="62">
        <f t="shared" si="128"/>
        <v>13818952.839705851</v>
      </c>
      <c r="AO96" s="62">
        <f t="shared" si="128"/>
        <v>13928065.158508116</v>
      </c>
      <c r="AP96" s="62">
        <f t="shared" si="128"/>
        <v>14036383.49889781</v>
      </c>
      <c r="AQ96" s="62">
        <f t="shared" si="128"/>
        <v>14143835.536797505</v>
      </c>
      <c r="AR96" s="62">
        <f t="shared" si="128"/>
        <v>14250346.358156057</v>
      </c>
      <c r="AS96" s="62">
        <f t="shared" si="128"/>
        <v>14355838.38254936</v>
      </c>
      <c r="AT96" s="62">
        <f t="shared" si="128"/>
        <v>14460231.28469754</v>
      </c>
      <c r="AU96" s="86">
        <f t="shared" si="128"/>
        <v>0</v>
      </c>
    </row>
    <row r="97" spans="2:47" x14ac:dyDescent="0.35">
      <c r="E97" s="47"/>
      <c r="F97" s="47"/>
      <c r="G97" s="47"/>
      <c r="H97" s="47"/>
      <c r="I97" s="47"/>
      <c r="J97" s="114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</row>
    <row r="98" spans="2:47" x14ac:dyDescent="0.35">
      <c r="D98" s="8" t="s">
        <v>85</v>
      </c>
      <c r="E98" s="79">
        <f>Input!E54</f>
        <v>0.3</v>
      </c>
      <c r="I98" s="16" t="s">
        <v>114</v>
      </c>
      <c r="J98" s="61">
        <f>SUM(K98:AU98)</f>
        <v>62036503.109964684</v>
      </c>
      <c r="K98" s="38">
        <f>MAX(K96,0)*$E98</f>
        <v>0</v>
      </c>
      <c r="L98" s="38">
        <f t="shared" ref="L98:AU98" si="129">MAX(L96,0)*$E98</f>
        <v>0</v>
      </c>
      <c r="M98" s="38">
        <f t="shared" si="129"/>
        <v>0</v>
      </c>
      <c r="N98" s="38">
        <f t="shared" si="129"/>
        <v>0</v>
      </c>
      <c r="O98" s="38">
        <f t="shared" si="129"/>
        <v>0</v>
      </c>
      <c r="P98" s="38">
        <f t="shared" si="129"/>
        <v>0</v>
      </c>
      <c r="Q98" s="38">
        <f t="shared" si="129"/>
        <v>0</v>
      </c>
      <c r="R98" s="38">
        <f t="shared" si="129"/>
        <v>0</v>
      </c>
      <c r="S98" s="38">
        <f t="shared" si="129"/>
        <v>0</v>
      </c>
      <c r="T98" s="38">
        <f t="shared" si="129"/>
        <v>0</v>
      </c>
      <c r="U98" s="38">
        <f t="shared" si="129"/>
        <v>0</v>
      </c>
      <c r="V98" s="38">
        <f t="shared" si="129"/>
        <v>0</v>
      </c>
      <c r="W98" s="38">
        <f t="shared" si="129"/>
        <v>0</v>
      </c>
      <c r="X98" s="38">
        <f t="shared" si="129"/>
        <v>0</v>
      </c>
      <c r="Y98" s="38">
        <f t="shared" si="129"/>
        <v>0</v>
      </c>
      <c r="Z98" s="38">
        <f t="shared" si="129"/>
        <v>0</v>
      </c>
      <c r="AA98" s="38">
        <f t="shared" si="129"/>
        <v>0</v>
      </c>
      <c r="AB98" s="38">
        <f t="shared" si="129"/>
        <v>0</v>
      </c>
      <c r="AC98" s="38">
        <f t="shared" si="129"/>
        <v>0</v>
      </c>
      <c r="AD98" s="38">
        <f t="shared" si="129"/>
        <v>0</v>
      </c>
      <c r="AE98" s="38">
        <f t="shared" si="129"/>
        <v>373334.65087334363</v>
      </c>
      <c r="AF98" s="38">
        <f t="shared" si="129"/>
        <v>3877605.7128552673</v>
      </c>
      <c r="AG98" s="38">
        <f t="shared" si="129"/>
        <v>3911550.0004692283</v>
      </c>
      <c r="AH98" s="38">
        <f t="shared" si="129"/>
        <v>3945404.2570309453</v>
      </c>
      <c r="AI98" s="38">
        <f t="shared" si="129"/>
        <v>3979152.246054301</v>
      </c>
      <c r="AJ98" s="38">
        <f t="shared" si="129"/>
        <v>4012777.1167539461</v>
      </c>
      <c r="AK98" s="38">
        <f t="shared" si="129"/>
        <v>4046261.3855828526</v>
      </c>
      <c r="AL98" s="38">
        <f t="shared" si="129"/>
        <v>4079586.9172620405</v>
      </c>
      <c r="AM98" s="38">
        <f t="shared" si="129"/>
        <v>4112734.9052890986</v>
      </c>
      <c r="AN98" s="38">
        <f t="shared" si="129"/>
        <v>4145685.8519117553</v>
      </c>
      <c r="AO98" s="38">
        <f t="shared" si="129"/>
        <v>4178419.5475524347</v>
      </c>
      <c r="AP98" s="38">
        <f t="shared" si="129"/>
        <v>4210915.049669343</v>
      </c>
      <c r="AQ98" s="38">
        <f t="shared" si="129"/>
        <v>4243150.6610392509</v>
      </c>
      <c r="AR98" s="38">
        <f t="shared" si="129"/>
        <v>4275103.9074468166</v>
      </c>
      <c r="AS98" s="38">
        <f t="shared" si="129"/>
        <v>4306751.5147648081</v>
      </c>
      <c r="AT98" s="38">
        <f t="shared" si="129"/>
        <v>4338069.385409262</v>
      </c>
      <c r="AU98" s="38">
        <f t="shared" si="129"/>
        <v>0</v>
      </c>
    </row>
    <row r="99" spans="2:47" x14ac:dyDescent="0.35">
      <c r="D99" s="39" t="s">
        <v>175</v>
      </c>
      <c r="E99" s="18"/>
      <c r="F99" s="18"/>
      <c r="G99" s="18"/>
      <c r="H99" s="18"/>
      <c r="I99" s="18" t="s">
        <v>114</v>
      </c>
      <c r="J99" s="83">
        <f>SUM(K99:AU99)</f>
        <v>144751840.58991763</v>
      </c>
      <c r="K99" s="62">
        <f>K89-K98</f>
        <v>0</v>
      </c>
      <c r="L99" s="62">
        <f t="shared" ref="L99:AU99" si="130">L89-L98</f>
        <v>-4952760.0187667608</v>
      </c>
      <c r="M99" s="62">
        <f t="shared" si="130"/>
        <v>-4643335.6681016143</v>
      </c>
      <c r="N99" s="62">
        <f t="shared" si="130"/>
        <v>-4315236.1277168998</v>
      </c>
      <c r="O99" s="62">
        <f t="shared" si="130"/>
        <v>-3967306.4067972433</v>
      </c>
      <c r="P99" s="62">
        <f t="shared" si="130"/>
        <v>-3598318.0392855909</v>
      </c>
      <c r="Q99" s="62">
        <f t="shared" si="130"/>
        <v>3043427.4099510349</v>
      </c>
      <c r="R99" s="62">
        <f t="shared" si="130"/>
        <v>2924140.9768795911</v>
      </c>
      <c r="S99" s="62">
        <f t="shared" si="130"/>
        <v>2803106.2415041085</v>
      </c>
      <c r="T99" s="62">
        <f t="shared" si="130"/>
        <v>2680255.8707898762</v>
      </c>
      <c r="U99" s="62">
        <f t="shared" si="130"/>
        <v>2555520.706406584</v>
      </c>
      <c r="V99" s="62">
        <f t="shared" si="130"/>
        <v>359496.83186766878</v>
      </c>
      <c r="W99" s="62">
        <f t="shared" si="130"/>
        <v>473078.46518977545</v>
      </c>
      <c r="X99" s="62">
        <f t="shared" si="130"/>
        <v>586801.00238082744</v>
      </c>
      <c r="Y99" s="62">
        <f t="shared" si="130"/>
        <v>700627.75634676777</v>
      </c>
      <c r="Z99" s="62">
        <f t="shared" si="130"/>
        <v>814520.52369181253</v>
      </c>
      <c r="AA99" s="62">
        <f t="shared" si="130"/>
        <v>928439.53788393922</v>
      </c>
      <c r="AB99" s="62">
        <f t="shared" si="130"/>
        <v>1042343.4211165104</v>
      </c>
      <c r="AC99" s="62">
        <f t="shared" si="130"/>
        <v>1156189.1348314509</v>
      </c>
      <c r="AD99" s="62">
        <f t="shared" si="130"/>
        <v>1269931.9288684931</v>
      </c>
      <c r="AE99" s="62">
        <f t="shared" si="130"/>
        <v>1010190.6383308086</v>
      </c>
      <c r="AF99" s="62">
        <f t="shared" si="130"/>
        <v>9047746.6633289568</v>
      </c>
      <c r="AG99" s="62">
        <f t="shared" si="130"/>
        <v>9126950.0010948665</v>
      </c>
      <c r="AH99" s="62">
        <f t="shared" si="130"/>
        <v>9205943.2664055396</v>
      </c>
      <c r="AI99" s="62">
        <f t="shared" si="130"/>
        <v>9284688.5741267037</v>
      </c>
      <c r="AJ99" s="62">
        <f t="shared" si="130"/>
        <v>9363146.6057592072</v>
      </c>
      <c r="AK99" s="62">
        <f t="shared" si="130"/>
        <v>9441276.5663599893</v>
      </c>
      <c r="AL99" s="62">
        <f t="shared" si="130"/>
        <v>9519036.1402780954</v>
      </c>
      <c r="AM99" s="62">
        <f t="shared" si="130"/>
        <v>9596381.4456745647</v>
      </c>
      <c r="AN99" s="62">
        <f t="shared" si="130"/>
        <v>9673266.9877940957</v>
      </c>
      <c r="AO99" s="62">
        <f t="shared" si="130"/>
        <v>9749645.6109556817</v>
      </c>
      <c r="AP99" s="62">
        <f t="shared" si="130"/>
        <v>9825468.4492284656</v>
      </c>
      <c r="AQ99" s="62">
        <f t="shared" si="130"/>
        <v>9900684.875758253</v>
      </c>
      <c r="AR99" s="62">
        <f t="shared" si="130"/>
        <v>9975242.4507092405</v>
      </c>
      <c r="AS99" s="62">
        <f t="shared" si="130"/>
        <v>10049086.867784552</v>
      </c>
      <c r="AT99" s="62">
        <f t="shared" si="130"/>
        <v>10122161.899288278</v>
      </c>
      <c r="AU99" s="62">
        <f t="shared" si="130"/>
        <v>0</v>
      </c>
    </row>
    <row r="100" spans="2:47" s="57" customFormat="1" x14ac:dyDescent="0.35">
      <c r="C100" s="91"/>
      <c r="D100" s="57" t="s">
        <v>43</v>
      </c>
      <c r="E100" s="58"/>
      <c r="F100" s="58"/>
      <c r="G100" s="58"/>
      <c r="H100" s="58"/>
      <c r="I100" s="58"/>
      <c r="J100" s="84">
        <f>AVERAGE(K100:AU100)</f>
        <v>0.16998952853208329</v>
      </c>
      <c r="K100" s="85">
        <f>IFERROR(K99/K$81,0)</f>
        <v>0</v>
      </c>
      <c r="L100" s="85">
        <f t="shared" ref="L100" si="131">IFERROR(L99/L$81,0)</f>
        <v>-0.24958097243624242</v>
      </c>
      <c r="M100" s="85">
        <f t="shared" ref="M100" si="132">IFERROR(M99/M$81,0)</f>
        <v>-0.23388811789420239</v>
      </c>
      <c r="N100" s="85">
        <f t="shared" ref="N100" si="133">IFERROR(N99/N$81,0)</f>
        <v>-0.21725133226166107</v>
      </c>
      <c r="O100" s="85">
        <f t="shared" ref="O100" si="134">IFERROR(O99/O$81,0)</f>
        <v>-0.19961769831413428</v>
      </c>
      <c r="P100" s="85">
        <f t="shared" ref="P100" si="135">IFERROR(P99/P$81,0)</f>
        <v>-0.1809312477521616</v>
      </c>
      <c r="Q100" s="85">
        <f t="shared" ref="Q100" si="136">IFERROR(Q99/Q$81,0)</f>
        <v>0.15291593098163547</v>
      </c>
      <c r="R100" s="85">
        <f t="shared" ref="R100" si="137">IFERROR(R99/R$81,0)</f>
        <v>0.1468008518580865</v>
      </c>
      <c r="S100" s="85">
        <f t="shared" ref="S100" si="138">IFERROR(S99/S$81,0)</f>
        <v>0.14059657900038594</v>
      </c>
      <c r="T100" s="85">
        <f t="shared" ref="T100" si="139">IFERROR(T99/T$81,0)</f>
        <v>0.13430139871195759</v>
      </c>
      <c r="U100" s="85">
        <f t="shared" ref="U100" si="140">IFERROR(U99/U$81,0)</f>
        <v>0.12791357788637403</v>
      </c>
      <c r="V100" s="85">
        <f t="shared" ref="V100" si="141">IFERROR(V99/V$81,0)</f>
        <v>2.0047408727842921E-2</v>
      </c>
      <c r="W100" s="85">
        <f t="shared" ref="W100" si="142">IFERROR(W99/W$81,0)</f>
        <v>2.5993999371756032E-2</v>
      </c>
      <c r="X100" s="85">
        <f t="shared" ref="X100" si="143">IFERROR(X99/X$81,0)</f>
        <v>3.1769290762837132E-2</v>
      </c>
      <c r="Y100" s="85">
        <f t="shared" ref="Y100" si="144">IFERROR(Y99/Y$81,0)</f>
        <v>3.7374961884782239E-2</v>
      </c>
      <c r="Z100" s="85">
        <f t="shared" ref="Z100" si="145">IFERROR(Z99/Z$81,0)</f>
        <v>4.2812658753034291E-2</v>
      </c>
      <c r="AA100" s="85">
        <f t="shared" ref="AA100" si="146">IFERROR(AA99/AA$81,0)</f>
        <v>4.8083994816012401E-2</v>
      </c>
      <c r="AB100" s="85">
        <f t="shared" ref="AB100" si="147">IFERROR(AB99/AB$81,0)</f>
        <v>5.3190551349627177E-2</v>
      </c>
      <c r="AC100" s="85">
        <f t="shared" ref="AC100" si="148">IFERROR(AC99/AC$81,0)</f>
        <v>5.8133877845172391E-2</v>
      </c>
      <c r="AD100" s="85">
        <f t="shared" ref="AD100" si="149">IFERROR(AD99/AD$81,0)</f>
        <v>6.2915492390681241E-2</v>
      </c>
      <c r="AE100" s="85">
        <f t="shared" ref="AE100" si="150">IFERROR(AE99/AE$81,0)</f>
        <v>4.9312525413974996E-2</v>
      </c>
      <c r="AF100" s="85">
        <f t="shared" ref="AF100" si="151">IFERROR(AF99/AF$81,0)</f>
        <v>0.43518216078852356</v>
      </c>
      <c r="AG100" s="85">
        <f t="shared" ref="AG100" si="152">IFERROR(AG99/AG$81,0)</f>
        <v>0.43254676796555008</v>
      </c>
      <c r="AH100" s="85">
        <f t="shared" ref="AH100" si="153">IFERROR(AH99/AH$81,0)</f>
        <v>0.42988514845274295</v>
      </c>
      <c r="AI100" s="85">
        <f t="shared" ref="AI100" si="154">IFERROR(AI99/AI$81,0)</f>
        <v>0.42719704124944474</v>
      </c>
      <c r="AJ100" s="85">
        <f t="shared" ref="AJ100" si="155">IFERROR(AJ99/AJ$81,0)</f>
        <v>0.42448218275759275</v>
      </c>
      <c r="AK100" s="85">
        <f t="shared" ref="AK100" si="156">IFERROR(AK99/AK$81,0)</f>
        <v>0.42174030675587021</v>
      </c>
      <c r="AL100" s="85">
        <f t="shared" ref="AL100" si="157">IFERROR(AL99/AL$81,0)</f>
        <v>0.41897114437360045</v>
      </c>
      <c r="AM100" s="85">
        <f t="shared" ref="AM100" si="158">IFERROR(AM99/AM$81,0)</f>
        <v>0.41617442406438121</v>
      </c>
      <c r="AN100" s="85">
        <f t="shared" ref="AN100" si="159">IFERROR(AN99/AN$81,0)</f>
        <v>0.4133498715794568</v>
      </c>
      <c r="AO100" s="85">
        <f t="shared" ref="AO100" si="160">IFERROR(AO99/AO$81,0)</f>
        <v>0.41049720994082495</v>
      </c>
      <c r="AP100" s="85">
        <f t="shared" ref="AP100" si="161">IFERROR(AP99/AP$81,0)</f>
        <v>0.40761615941407586</v>
      </c>
      <c r="AQ100" s="85">
        <f t="shared" ref="AQ100" si="162">IFERROR(AQ99/AQ$81,0)</f>
        <v>0.40470643748096152</v>
      </c>
      <c r="AR100" s="85">
        <f t="shared" ref="AR100" si="163">IFERROR(AR99/AR$81,0)</f>
        <v>0.40176775881169147</v>
      </c>
      <c r="AS100" s="85">
        <f t="shared" ref="AS100" si="164">IFERROR(AS99/AS$81,0)</f>
        <v>0.39879983523695317</v>
      </c>
      <c r="AT100" s="85">
        <f t="shared" ref="AT100" si="165">IFERROR(AT99/AT$81,0)</f>
        <v>0.39580237571965415</v>
      </c>
      <c r="AU100" s="85">
        <f t="shared" ref="AU100" si="166">IFERROR(AU99/AU$81,0)</f>
        <v>0</v>
      </c>
    </row>
    <row r="102" spans="2:47" x14ac:dyDescent="0.35">
      <c r="D102" s="126" t="s">
        <v>192</v>
      </c>
      <c r="E102" s="18"/>
      <c r="F102" s="18"/>
      <c r="G102" s="18"/>
      <c r="H102" s="18"/>
      <c r="I102" s="18" t="s">
        <v>114</v>
      </c>
      <c r="J102" s="83">
        <f>SUM(K102:AU102)</f>
        <v>73564510.829235643</v>
      </c>
      <c r="K102" s="62">
        <f t="shared" ref="K102:AU102" si="167">K86*$E98</f>
        <v>0</v>
      </c>
      <c r="L102" s="62">
        <f t="shared" si="167"/>
        <v>1084760.9460176171</v>
      </c>
      <c r="M102" s="62">
        <f t="shared" si="167"/>
        <v>1051312.6574902581</v>
      </c>
      <c r="N102" s="62">
        <f t="shared" si="167"/>
        <v>1017433.151040799</v>
      </c>
      <c r="O102" s="62">
        <f t="shared" si="167"/>
        <v>983104.75771432044</v>
      </c>
      <c r="P102" s="62">
        <f t="shared" si="167"/>
        <v>948309.32880750764</v>
      </c>
      <c r="Q102" s="62">
        <f t="shared" si="167"/>
        <v>913028.22298531048</v>
      </c>
      <c r="R102" s="62">
        <f t="shared" si="167"/>
        <v>877242.29306387727</v>
      </c>
      <c r="S102" s="62">
        <f t="shared" si="167"/>
        <v>840931.87245123251</v>
      </c>
      <c r="T102" s="62">
        <f t="shared" si="167"/>
        <v>804076.76123696286</v>
      </c>
      <c r="U102" s="62">
        <f t="shared" si="167"/>
        <v>766656.21192197513</v>
      </c>
      <c r="V102" s="62">
        <f t="shared" si="167"/>
        <v>107849.04956030063</v>
      </c>
      <c r="W102" s="62">
        <f t="shared" si="167"/>
        <v>141923.53955693264</v>
      </c>
      <c r="X102" s="62">
        <f t="shared" si="167"/>
        <v>176040.30071424824</v>
      </c>
      <c r="Y102" s="62">
        <f t="shared" si="167"/>
        <v>210188.32690403031</v>
      </c>
      <c r="Z102" s="62">
        <f t="shared" si="167"/>
        <v>244356.15710754375</v>
      </c>
      <c r="AA102" s="62">
        <f t="shared" si="167"/>
        <v>278531.86136518174</v>
      </c>
      <c r="AB102" s="62">
        <f t="shared" si="167"/>
        <v>312703.02633495309</v>
      </c>
      <c r="AC102" s="62">
        <f t="shared" si="167"/>
        <v>346856.74044943525</v>
      </c>
      <c r="AD102" s="62">
        <f t="shared" si="167"/>
        <v>380979.57866054791</v>
      </c>
      <c r="AE102" s="62">
        <f t="shared" si="167"/>
        <v>415057.58676124568</v>
      </c>
      <c r="AF102" s="62">
        <f t="shared" si="167"/>
        <v>3877605.7128552673</v>
      </c>
      <c r="AG102" s="62">
        <f t="shared" si="167"/>
        <v>3911550.0004692283</v>
      </c>
      <c r="AH102" s="62">
        <f t="shared" si="167"/>
        <v>3945404.2570309453</v>
      </c>
      <c r="AI102" s="62">
        <f t="shared" si="167"/>
        <v>3979152.246054301</v>
      </c>
      <c r="AJ102" s="62">
        <f t="shared" si="167"/>
        <v>4012777.1167539461</v>
      </c>
      <c r="AK102" s="62">
        <f t="shared" si="167"/>
        <v>4046261.3855828526</v>
      </c>
      <c r="AL102" s="62">
        <f t="shared" si="167"/>
        <v>4079586.9172620405</v>
      </c>
      <c r="AM102" s="62">
        <f t="shared" si="167"/>
        <v>4112734.9052890986</v>
      </c>
      <c r="AN102" s="62">
        <f t="shared" si="167"/>
        <v>4145685.8519117553</v>
      </c>
      <c r="AO102" s="62">
        <f t="shared" si="167"/>
        <v>4178419.5475524347</v>
      </c>
      <c r="AP102" s="62">
        <f t="shared" si="167"/>
        <v>4210915.049669343</v>
      </c>
      <c r="AQ102" s="62">
        <f t="shared" si="167"/>
        <v>4243150.6610392509</v>
      </c>
      <c r="AR102" s="62">
        <f t="shared" si="167"/>
        <v>4275103.9074468166</v>
      </c>
      <c r="AS102" s="62">
        <f t="shared" si="167"/>
        <v>4306751.5147648081</v>
      </c>
      <c r="AT102" s="62">
        <f t="shared" si="167"/>
        <v>4338069.385409262</v>
      </c>
      <c r="AU102" s="86">
        <f t="shared" si="167"/>
        <v>0</v>
      </c>
    </row>
    <row r="104" spans="2:47" x14ac:dyDescent="0.35">
      <c r="B104" s="1" t="s">
        <v>30</v>
      </c>
    </row>
    <row r="105" spans="2:47" x14ac:dyDescent="0.35">
      <c r="C105" s="5" t="s">
        <v>47</v>
      </c>
    </row>
    <row r="106" spans="2:47" x14ac:dyDescent="0.35">
      <c r="D106" s="38" t="str">
        <f>D81</f>
        <v>Total Revenue</v>
      </c>
      <c r="I106" s="16" t="s">
        <v>114</v>
      </c>
      <c r="K106" s="38">
        <f t="shared" ref="K106:AU106" si="168">K81</f>
        <v>0</v>
      </c>
      <c r="L106" s="38">
        <f t="shared" si="168"/>
        <v>19844301.311999999</v>
      </c>
      <c r="M106" s="38">
        <f t="shared" si="168"/>
        <v>19852807.016908802</v>
      </c>
      <c r="N106" s="38">
        <f t="shared" si="168"/>
        <v>19862875.328743938</v>
      </c>
      <c r="O106" s="38">
        <f t="shared" si="168"/>
        <v>19874522.35098901</v>
      </c>
      <c r="P106" s="38">
        <f t="shared" si="168"/>
        <v>19887764.462966301</v>
      </c>
      <c r="Q106" s="38">
        <f t="shared" si="168"/>
        <v>19902618.323767308</v>
      </c>
      <c r="R106" s="38">
        <f t="shared" si="168"/>
        <v>19919100.876242738</v>
      </c>
      <c r="S106" s="38">
        <f t="shared" si="168"/>
        <v>19937229.351052802</v>
      </c>
      <c r="T106" s="38">
        <f t="shared" si="168"/>
        <v>19957021.270778757</v>
      </c>
      <c r="U106" s="38">
        <f t="shared" si="168"/>
        <v>19978494.454096653</v>
      </c>
      <c r="V106" s="38">
        <f t="shared" si="168"/>
        <v>17932334.135951456</v>
      </c>
      <c r="W106" s="38">
        <f t="shared" si="168"/>
        <v>18199525.914577127</v>
      </c>
      <c r="X106" s="38">
        <f t="shared" si="168"/>
        <v>18470698.850704327</v>
      </c>
      <c r="Y106" s="38">
        <f t="shared" si="168"/>
        <v>18745912.263579823</v>
      </c>
      <c r="Z106" s="38">
        <f t="shared" si="168"/>
        <v>19025226.356307164</v>
      </c>
      <c r="AA106" s="38">
        <f t="shared" si="168"/>
        <v>19308702.22901614</v>
      </c>
      <c r="AB106" s="38">
        <f t="shared" si="168"/>
        <v>19596401.892228484</v>
      </c>
      <c r="AC106" s="38">
        <f t="shared" si="168"/>
        <v>19888388.280422691</v>
      </c>
      <c r="AD106" s="38">
        <f t="shared" si="168"/>
        <v>20184725.265800983</v>
      </c>
      <c r="AE106" s="38">
        <f t="shared" si="168"/>
        <v>20485477.672261421</v>
      </c>
      <c r="AF106" s="38">
        <f t="shared" si="168"/>
        <v>20790711.289578117</v>
      </c>
      <c r="AG106" s="38">
        <f t="shared" si="168"/>
        <v>21100492.887792833</v>
      </c>
      <c r="AH106" s="38">
        <f t="shared" si="168"/>
        <v>21414890.231820941</v>
      </c>
      <c r="AI106" s="38">
        <f t="shared" si="168"/>
        <v>21733972.096275073</v>
      </c>
      <c r="AJ106" s="38">
        <f t="shared" si="168"/>
        <v>22057808.280509572</v>
      </c>
      <c r="AK106" s="38">
        <f t="shared" si="168"/>
        <v>22386469.623889171</v>
      </c>
      <c r="AL106" s="38">
        <f t="shared" si="168"/>
        <v>22720028.02128512</v>
      </c>
      <c r="AM106" s="38">
        <f t="shared" si="168"/>
        <v>23058556.438802272</v>
      </c>
      <c r="AN106" s="38">
        <f t="shared" si="168"/>
        <v>23402128.929740425</v>
      </c>
      <c r="AO106" s="38">
        <f t="shared" si="168"/>
        <v>23750820.650793552</v>
      </c>
      <c r="AP106" s="38">
        <f t="shared" si="168"/>
        <v>24104707.878490381</v>
      </c>
      <c r="AQ106" s="38">
        <f t="shared" si="168"/>
        <v>24463868.02587989</v>
      </c>
      <c r="AR106" s="38">
        <f t="shared" si="168"/>
        <v>24828379.659465499</v>
      </c>
      <c r="AS106" s="38">
        <f t="shared" si="168"/>
        <v>25198322.516391538</v>
      </c>
      <c r="AT106" s="38">
        <f t="shared" si="168"/>
        <v>25573777.521885771</v>
      </c>
      <c r="AU106" s="38">
        <f t="shared" si="168"/>
        <v>0</v>
      </c>
    </row>
    <row r="107" spans="2:47" x14ac:dyDescent="0.35">
      <c r="D107" s="2" t="s">
        <v>46</v>
      </c>
      <c r="K107" s="38">
        <f>K$5-J$5+1</f>
        <v>366</v>
      </c>
      <c r="L107" s="38">
        <f>L$5-L$4+1</f>
        <v>366</v>
      </c>
      <c r="M107" s="38">
        <f t="shared" ref="M107:AU107" si="169">M$5-M$4+1</f>
        <v>365</v>
      </c>
      <c r="N107" s="38">
        <f t="shared" si="169"/>
        <v>365</v>
      </c>
      <c r="O107" s="38">
        <f t="shared" si="169"/>
        <v>365</v>
      </c>
      <c r="P107" s="38">
        <f t="shared" si="169"/>
        <v>366</v>
      </c>
      <c r="Q107" s="38">
        <f t="shared" si="169"/>
        <v>365</v>
      </c>
      <c r="R107" s="38">
        <f t="shared" si="169"/>
        <v>365</v>
      </c>
      <c r="S107" s="38">
        <f t="shared" si="169"/>
        <v>365</v>
      </c>
      <c r="T107" s="38">
        <f t="shared" si="169"/>
        <v>366</v>
      </c>
      <c r="U107" s="38">
        <f t="shared" si="169"/>
        <v>365</v>
      </c>
      <c r="V107" s="38">
        <f t="shared" si="169"/>
        <v>365</v>
      </c>
      <c r="W107" s="38">
        <f t="shared" si="169"/>
        <v>365</v>
      </c>
      <c r="X107" s="38">
        <f t="shared" si="169"/>
        <v>366</v>
      </c>
      <c r="Y107" s="38">
        <f t="shared" si="169"/>
        <v>365</v>
      </c>
      <c r="Z107" s="38">
        <f t="shared" si="169"/>
        <v>365</v>
      </c>
      <c r="AA107" s="38">
        <f t="shared" si="169"/>
        <v>365</v>
      </c>
      <c r="AB107" s="38">
        <f t="shared" si="169"/>
        <v>366</v>
      </c>
      <c r="AC107" s="38">
        <f t="shared" si="169"/>
        <v>365</v>
      </c>
      <c r="AD107" s="38">
        <f t="shared" si="169"/>
        <v>365</v>
      </c>
      <c r="AE107" s="38">
        <f t="shared" si="169"/>
        <v>365</v>
      </c>
      <c r="AF107" s="38">
        <f t="shared" si="169"/>
        <v>366</v>
      </c>
      <c r="AG107" s="38">
        <f t="shared" si="169"/>
        <v>365</v>
      </c>
      <c r="AH107" s="38">
        <f t="shared" si="169"/>
        <v>365</v>
      </c>
      <c r="AI107" s="38">
        <f t="shared" si="169"/>
        <v>365</v>
      </c>
      <c r="AJ107" s="38">
        <f t="shared" si="169"/>
        <v>366</v>
      </c>
      <c r="AK107" s="38">
        <f t="shared" si="169"/>
        <v>365</v>
      </c>
      <c r="AL107" s="38">
        <f t="shared" si="169"/>
        <v>365</v>
      </c>
      <c r="AM107" s="38">
        <f t="shared" si="169"/>
        <v>365</v>
      </c>
      <c r="AN107" s="38">
        <f t="shared" si="169"/>
        <v>366</v>
      </c>
      <c r="AO107" s="38">
        <f t="shared" si="169"/>
        <v>365</v>
      </c>
      <c r="AP107" s="38">
        <f t="shared" si="169"/>
        <v>365</v>
      </c>
      <c r="AQ107" s="38">
        <f t="shared" si="169"/>
        <v>365</v>
      </c>
      <c r="AR107" s="38">
        <f t="shared" si="169"/>
        <v>366</v>
      </c>
      <c r="AS107" s="38">
        <f t="shared" si="169"/>
        <v>365</v>
      </c>
      <c r="AT107" s="38">
        <f t="shared" si="169"/>
        <v>365</v>
      </c>
      <c r="AU107" s="38">
        <f t="shared" si="169"/>
        <v>365</v>
      </c>
    </row>
    <row r="108" spans="2:47" x14ac:dyDescent="0.35">
      <c r="D108" s="2" t="s">
        <v>49</v>
      </c>
      <c r="E108" s="17">
        <f>Input!E50</f>
        <v>0</v>
      </c>
      <c r="K108" s="38">
        <f>$E108</f>
        <v>0</v>
      </c>
      <c r="L108" s="38">
        <f t="shared" ref="L108:AU108" si="170">$E108</f>
        <v>0</v>
      </c>
      <c r="M108" s="38">
        <f t="shared" si="170"/>
        <v>0</v>
      </c>
      <c r="N108" s="38">
        <f t="shared" si="170"/>
        <v>0</v>
      </c>
      <c r="O108" s="38">
        <f t="shared" si="170"/>
        <v>0</v>
      </c>
      <c r="P108" s="38">
        <f t="shared" si="170"/>
        <v>0</v>
      </c>
      <c r="Q108" s="38">
        <f t="shared" si="170"/>
        <v>0</v>
      </c>
      <c r="R108" s="38">
        <f t="shared" si="170"/>
        <v>0</v>
      </c>
      <c r="S108" s="38">
        <f t="shared" si="170"/>
        <v>0</v>
      </c>
      <c r="T108" s="38">
        <f t="shared" si="170"/>
        <v>0</v>
      </c>
      <c r="U108" s="38">
        <f t="shared" si="170"/>
        <v>0</v>
      </c>
      <c r="V108" s="38">
        <f t="shared" si="170"/>
        <v>0</v>
      </c>
      <c r="W108" s="38">
        <f t="shared" si="170"/>
        <v>0</v>
      </c>
      <c r="X108" s="38">
        <f t="shared" si="170"/>
        <v>0</v>
      </c>
      <c r="Y108" s="38">
        <f t="shared" si="170"/>
        <v>0</v>
      </c>
      <c r="Z108" s="38">
        <f t="shared" si="170"/>
        <v>0</v>
      </c>
      <c r="AA108" s="38">
        <f t="shared" si="170"/>
        <v>0</v>
      </c>
      <c r="AB108" s="38">
        <f t="shared" si="170"/>
        <v>0</v>
      </c>
      <c r="AC108" s="38">
        <f t="shared" si="170"/>
        <v>0</v>
      </c>
      <c r="AD108" s="38">
        <f t="shared" si="170"/>
        <v>0</v>
      </c>
      <c r="AE108" s="38">
        <f t="shared" si="170"/>
        <v>0</v>
      </c>
      <c r="AF108" s="38">
        <f t="shared" si="170"/>
        <v>0</v>
      </c>
      <c r="AG108" s="38">
        <f t="shared" si="170"/>
        <v>0</v>
      </c>
      <c r="AH108" s="38">
        <f t="shared" si="170"/>
        <v>0</v>
      </c>
      <c r="AI108" s="38">
        <f t="shared" si="170"/>
        <v>0</v>
      </c>
      <c r="AJ108" s="38">
        <f t="shared" si="170"/>
        <v>0</v>
      </c>
      <c r="AK108" s="38">
        <f t="shared" si="170"/>
        <v>0</v>
      </c>
      <c r="AL108" s="38">
        <f t="shared" si="170"/>
        <v>0</v>
      </c>
      <c r="AM108" s="38">
        <f t="shared" si="170"/>
        <v>0</v>
      </c>
      <c r="AN108" s="38">
        <f t="shared" si="170"/>
        <v>0</v>
      </c>
      <c r="AO108" s="38">
        <f t="shared" si="170"/>
        <v>0</v>
      </c>
      <c r="AP108" s="38">
        <f t="shared" si="170"/>
        <v>0</v>
      </c>
      <c r="AQ108" s="38">
        <f t="shared" si="170"/>
        <v>0</v>
      </c>
      <c r="AR108" s="38">
        <f t="shared" si="170"/>
        <v>0</v>
      </c>
      <c r="AS108" s="38">
        <f t="shared" si="170"/>
        <v>0</v>
      </c>
      <c r="AT108" s="38">
        <f t="shared" si="170"/>
        <v>0</v>
      </c>
      <c r="AU108" s="38">
        <f t="shared" si="170"/>
        <v>0</v>
      </c>
    </row>
    <row r="109" spans="2:47" x14ac:dyDescent="0.35">
      <c r="D109" s="3" t="s">
        <v>51</v>
      </c>
      <c r="E109" s="23"/>
      <c r="F109" s="23"/>
      <c r="G109" s="23"/>
      <c r="H109" s="23"/>
      <c r="I109" s="23" t="s">
        <v>114</v>
      </c>
      <c r="J109" s="23"/>
      <c r="K109" s="40">
        <f t="shared" ref="K109:AU109" si="171">K106*K108/K107</f>
        <v>0</v>
      </c>
      <c r="L109" s="40">
        <f t="shared" si="171"/>
        <v>0</v>
      </c>
      <c r="M109" s="40">
        <f t="shared" si="171"/>
        <v>0</v>
      </c>
      <c r="N109" s="40">
        <f t="shared" si="171"/>
        <v>0</v>
      </c>
      <c r="O109" s="40">
        <f t="shared" si="171"/>
        <v>0</v>
      </c>
      <c r="P109" s="40">
        <f t="shared" si="171"/>
        <v>0</v>
      </c>
      <c r="Q109" s="40">
        <f t="shared" si="171"/>
        <v>0</v>
      </c>
      <c r="R109" s="40">
        <f t="shared" si="171"/>
        <v>0</v>
      </c>
      <c r="S109" s="40">
        <f t="shared" si="171"/>
        <v>0</v>
      </c>
      <c r="T109" s="40">
        <f t="shared" si="171"/>
        <v>0</v>
      </c>
      <c r="U109" s="40">
        <f t="shared" si="171"/>
        <v>0</v>
      </c>
      <c r="V109" s="40">
        <f t="shared" si="171"/>
        <v>0</v>
      </c>
      <c r="W109" s="40">
        <f t="shared" si="171"/>
        <v>0</v>
      </c>
      <c r="X109" s="40">
        <f t="shared" si="171"/>
        <v>0</v>
      </c>
      <c r="Y109" s="40">
        <f t="shared" si="171"/>
        <v>0</v>
      </c>
      <c r="Z109" s="40">
        <f t="shared" si="171"/>
        <v>0</v>
      </c>
      <c r="AA109" s="40">
        <f t="shared" si="171"/>
        <v>0</v>
      </c>
      <c r="AB109" s="40">
        <f t="shared" si="171"/>
        <v>0</v>
      </c>
      <c r="AC109" s="40">
        <f t="shared" si="171"/>
        <v>0</v>
      </c>
      <c r="AD109" s="40">
        <f t="shared" si="171"/>
        <v>0</v>
      </c>
      <c r="AE109" s="40">
        <f t="shared" si="171"/>
        <v>0</v>
      </c>
      <c r="AF109" s="40">
        <f t="shared" si="171"/>
        <v>0</v>
      </c>
      <c r="AG109" s="40">
        <f t="shared" si="171"/>
        <v>0</v>
      </c>
      <c r="AH109" s="40">
        <f t="shared" si="171"/>
        <v>0</v>
      </c>
      <c r="AI109" s="40">
        <f t="shared" si="171"/>
        <v>0</v>
      </c>
      <c r="AJ109" s="40">
        <f t="shared" si="171"/>
        <v>0</v>
      </c>
      <c r="AK109" s="40">
        <f t="shared" si="171"/>
        <v>0</v>
      </c>
      <c r="AL109" s="40">
        <f t="shared" si="171"/>
        <v>0</v>
      </c>
      <c r="AM109" s="40">
        <f t="shared" si="171"/>
        <v>0</v>
      </c>
      <c r="AN109" s="40">
        <f t="shared" si="171"/>
        <v>0</v>
      </c>
      <c r="AO109" s="40">
        <f t="shared" si="171"/>
        <v>0</v>
      </c>
      <c r="AP109" s="40">
        <f t="shared" si="171"/>
        <v>0</v>
      </c>
      <c r="AQ109" s="40">
        <f t="shared" si="171"/>
        <v>0</v>
      </c>
      <c r="AR109" s="40">
        <f t="shared" si="171"/>
        <v>0</v>
      </c>
      <c r="AS109" s="40">
        <f t="shared" si="171"/>
        <v>0</v>
      </c>
      <c r="AT109" s="40">
        <f t="shared" si="171"/>
        <v>0</v>
      </c>
      <c r="AU109" s="40">
        <f t="shared" si="171"/>
        <v>0</v>
      </c>
    </row>
    <row r="111" spans="2:47" x14ac:dyDescent="0.35">
      <c r="C111" s="5" t="s">
        <v>48</v>
      </c>
    </row>
    <row r="112" spans="2:47" x14ac:dyDescent="0.35">
      <c r="D112" s="8" t="str">
        <f>D82</f>
        <v>Operating expense</v>
      </c>
      <c r="I112" s="16" t="s">
        <v>114</v>
      </c>
      <c r="K112" s="38">
        <f t="shared" ref="K112:AU112" si="172">-K82</f>
        <v>0</v>
      </c>
      <c r="L112" s="38">
        <f t="shared" si="172"/>
        <v>4800000</v>
      </c>
      <c r="M112" s="38">
        <f t="shared" si="172"/>
        <v>4920000</v>
      </c>
      <c r="N112" s="38">
        <f t="shared" si="172"/>
        <v>5043000</v>
      </c>
      <c r="O112" s="38">
        <f t="shared" si="172"/>
        <v>5169074.9999999991</v>
      </c>
      <c r="P112" s="38">
        <f t="shared" si="172"/>
        <v>5298301.8749999991</v>
      </c>
      <c r="Q112" s="38">
        <f t="shared" si="172"/>
        <v>5430759.4218749981</v>
      </c>
      <c r="R112" s="38">
        <f t="shared" si="172"/>
        <v>5566528.407421873</v>
      </c>
      <c r="S112" s="38">
        <f t="shared" si="172"/>
        <v>5705691.6176074194</v>
      </c>
      <c r="T112" s="38">
        <f t="shared" si="172"/>
        <v>5848333.9080476044</v>
      </c>
      <c r="U112" s="38">
        <f t="shared" si="172"/>
        <v>5994542.2557487935</v>
      </c>
      <c r="V112" s="38">
        <f t="shared" si="172"/>
        <v>6144405.8121425118</v>
      </c>
      <c r="W112" s="38">
        <f t="shared" si="172"/>
        <v>6298015.957446075</v>
      </c>
      <c r="X112" s="38">
        <f t="shared" si="172"/>
        <v>6455466.3563822256</v>
      </c>
      <c r="Y112" s="38">
        <f t="shared" si="172"/>
        <v>6616853.0152917812</v>
      </c>
      <c r="Z112" s="38">
        <f t="shared" si="172"/>
        <v>6782274.3406740753</v>
      </c>
      <c r="AA112" s="38">
        <f t="shared" si="172"/>
        <v>6951831.1991909258</v>
      </c>
      <c r="AB112" s="38">
        <f t="shared" si="172"/>
        <v>7125626.9791706987</v>
      </c>
      <c r="AC112" s="38">
        <f t="shared" si="172"/>
        <v>7303767.6536499653</v>
      </c>
      <c r="AD112" s="38">
        <f t="shared" si="172"/>
        <v>7486361.8449912136</v>
      </c>
      <c r="AE112" s="38">
        <f t="shared" si="172"/>
        <v>7673520.8911159933</v>
      </c>
      <c r="AF112" s="38">
        <f t="shared" si="172"/>
        <v>7865358.9133938923</v>
      </c>
      <c r="AG112" s="38">
        <f t="shared" si="172"/>
        <v>8061992.8862287384</v>
      </c>
      <c r="AH112" s="38">
        <f t="shared" si="172"/>
        <v>8263542.7083844561</v>
      </c>
      <c r="AI112" s="38">
        <f t="shared" si="172"/>
        <v>8470131.2760940678</v>
      </c>
      <c r="AJ112" s="38">
        <f t="shared" si="172"/>
        <v>8681884.5579964183</v>
      </c>
      <c r="AK112" s="38">
        <f t="shared" si="172"/>
        <v>8898931.6719463281</v>
      </c>
      <c r="AL112" s="38">
        <f t="shared" si="172"/>
        <v>9121404.9637449849</v>
      </c>
      <c r="AM112" s="38">
        <f t="shared" si="172"/>
        <v>9349440.0878386088</v>
      </c>
      <c r="AN112" s="38">
        <f t="shared" si="172"/>
        <v>9583176.0900345743</v>
      </c>
      <c r="AO112" s="38">
        <f t="shared" si="172"/>
        <v>9822755.492285436</v>
      </c>
      <c r="AP112" s="38">
        <f t="shared" si="172"/>
        <v>10068324.379592571</v>
      </c>
      <c r="AQ112" s="38">
        <f t="shared" si="172"/>
        <v>10320032.489082385</v>
      </c>
      <c r="AR112" s="38">
        <f t="shared" si="172"/>
        <v>10578033.301309442</v>
      </c>
      <c r="AS112" s="38">
        <f t="shared" si="172"/>
        <v>10842484.133842178</v>
      </c>
      <c r="AT112" s="38">
        <f t="shared" si="172"/>
        <v>11113546.237188231</v>
      </c>
      <c r="AU112" s="38">
        <f t="shared" si="172"/>
        <v>0</v>
      </c>
    </row>
    <row r="113" spans="2:47" x14ac:dyDescent="0.35">
      <c r="D113" s="2" t="s">
        <v>46</v>
      </c>
      <c r="K113" s="38">
        <f>K$5-J$5+1</f>
        <v>366</v>
      </c>
      <c r="L113" s="38">
        <f>L$5-L$4+1</f>
        <v>366</v>
      </c>
      <c r="M113" s="38">
        <f t="shared" ref="M113:AU113" si="173">M$5-M$4+1</f>
        <v>365</v>
      </c>
      <c r="N113" s="38">
        <f t="shared" si="173"/>
        <v>365</v>
      </c>
      <c r="O113" s="38">
        <f t="shared" si="173"/>
        <v>365</v>
      </c>
      <c r="P113" s="38">
        <f t="shared" si="173"/>
        <v>366</v>
      </c>
      <c r="Q113" s="38">
        <f t="shared" si="173"/>
        <v>365</v>
      </c>
      <c r="R113" s="38">
        <f t="shared" si="173"/>
        <v>365</v>
      </c>
      <c r="S113" s="38">
        <f t="shared" si="173"/>
        <v>365</v>
      </c>
      <c r="T113" s="38">
        <f t="shared" si="173"/>
        <v>366</v>
      </c>
      <c r="U113" s="38">
        <f t="shared" si="173"/>
        <v>365</v>
      </c>
      <c r="V113" s="38">
        <f t="shared" si="173"/>
        <v>365</v>
      </c>
      <c r="W113" s="38">
        <f t="shared" si="173"/>
        <v>365</v>
      </c>
      <c r="X113" s="38">
        <f t="shared" si="173"/>
        <v>366</v>
      </c>
      <c r="Y113" s="38">
        <f t="shared" si="173"/>
        <v>365</v>
      </c>
      <c r="Z113" s="38">
        <f t="shared" si="173"/>
        <v>365</v>
      </c>
      <c r="AA113" s="38">
        <f t="shared" si="173"/>
        <v>365</v>
      </c>
      <c r="AB113" s="38">
        <f t="shared" si="173"/>
        <v>366</v>
      </c>
      <c r="AC113" s="38">
        <f t="shared" si="173"/>
        <v>365</v>
      </c>
      <c r="AD113" s="38">
        <f t="shared" si="173"/>
        <v>365</v>
      </c>
      <c r="AE113" s="38">
        <f t="shared" si="173"/>
        <v>365</v>
      </c>
      <c r="AF113" s="38">
        <f t="shared" si="173"/>
        <v>366</v>
      </c>
      <c r="AG113" s="38">
        <f t="shared" si="173"/>
        <v>365</v>
      </c>
      <c r="AH113" s="38">
        <f t="shared" si="173"/>
        <v>365</v>
      </c>
      <c r="AI113" s="38">
        <f t="shared" si="173"/>
        <v>365</v>
      </c>
      <c r="AJ113" s="38">
        <f t="shared" si="173"/>
        <v>366</v>
      </c>
      <c r="AK113" s="38">
        <f t="shared" si="173"/>
        <v>365</v>
      </c>
      <c r="AL113" s="38">
        <f t="shared" si="173"/>
        <v>365</v>
      </c>
      <c r="AM113" s="38">
        <f t="shared" si="173"/>
        <v>365</v>
      </c>
      <c r="AN113" s="38">
        <f t="shared" si="173"/>
        <v>366</v>
      </c>
      <c r="AO113" s="38">
        <f t="shared" si="173"/>
        <v>365</v>
      </c>
      <c r="AP113" s="38">
        <f t="shared" si="173"/>
        <v>365</v>
      </c>
      <c r="AQ113" s="38">
        <f t="shared" si="173"/>
        <v>365</v>
      </c>
      <c r="AR113" s="38">
        <f t="shared" si="173"/>
        <v>366</v>
      </c>
      <c r="AS113" s="38">
        <f t="shared" si="173"/>
        <v>365</v>
      </c>
      <c r="AT113" s="38">
        <f t="shared" si="173"/>
        <v>365</v>
      </c>
      <c r="AU113" s="38">
        <f t="shared" si="173"/>
        <v>365</v>
      </c>
    </row>
    <row r="114" spans="2:47" x14ac:dyDescent="0.35">
      <c r="D114" s="2" t="s">
        <v>50</v>
      </c>
      <c r="E114" s="17">
        <f>Input!E51</f>
        <v>0</v>
      </c>
      <c r="K114" s="38">
        <f>$E114</f>
        <v>0</v>
      </c>
      <c r="L114" s="38">
        <f t="shared" ref="L114:AU114" si="174">$E114</f>
        <v>0</v>
      </c>
      <c r="M114" s="38">
        <f t="shared" si="174"/>
        <v>0</v>
      </c>
      <c r="N114" s="38">
        <f t="shared" si="174"/>
        <v>0</v>
      </c>
      <c r="O114" s="38">
        <f t="shared" si="174"/>
        <v>0</v>
      </c>
      <c r="P114" s="38">
        <f t="shared" si="174"/>
        <v>0</v>
      </c>
      <c r="Q114" s="38">
        <f t="shared" si="174"/>
        <v>0</v>
      </c>
      <c r="R114" s="38">
        <f t="shared" si="174"/>
        <v>0</v>
      </c>
      <c r="S114" s="38">
        <f t="shared" si="174"/>
        <v>0</v>
      </c>
      <c r="T114" s="38">
        <f t="shared" si="174"/>
        <v>0</v>
      </c>
      <c r="U114" s="38">
        <f t="shared" si="174"/>
        <v>0</v>
      </c>
      <c r="V114" s="38">
        <f t="shared" si="174"/>
        <v>0</v>
      </c>
      <c r="W114" s="38">
        <f t="shared" si="174"/>
        <v>0</v>
      </c>
      <c r="X114" s="38">
        <f t="shared" si="174"/>
        <v>0</v>
      </c>
      <c r="Y114" s="38">
        <f t="shared" si="174"/>
        <v>0</v>
      </c>
      <c r="Z114" s="38">
        <f t="shared" si="174"/>
        <v>0</v>
      </c>
      <c r="AA114" s="38">
        <f t="shared" si="174"/>
        <v>0</v>
      </c>
      <c r="AB114" s="38">
        <f t="shared" si="174"/>
        <v>0</v>
      </c>
      <c r="AC114" s="38">
        <f t="shared" si="174"/>
        <v>0</v>
      </c>
      <c r="AD114" s="38">
        <f t="shared" si="174"/>
        <v>0</v>
      </c>
      <c r="AE114" s="38">
        <f t="shared" si="174"/>
        <v>0</v>
      </c>
      <c r="AF114" s="38">
        <f t="shared" si="174"/>
        <v>0</v>
      </c>
      <c r="AG114" s="38">
        <f t="shared" si="174"/>
        <v>0</v>
      </c>
      <c r="AH114" s="38">
        <f t="shared" si="174"/>
        <v>0</v>
      </c>
      <c r="AI114" s="38">
        <f t="shared" si="174"/>
        <v>0</v>
      </c>
      <c r="AJ114" s="38">
        <f t="shared" si="174"/>
        <v>0</v>
      </c>
      <c r="AK114" s="38">
        <f t="shared" si="174"/>
        <v>0</v>
      </c>
      <c r="AL114" s="38">
        <f t="shared" si="174"/>
        <v>0</v>
      </c>
      <c r="AM114" s="38">
        <f t="shared" si="174"/>
        <v>0</v>
      </c>
      <c r="AN114" s="38">
        <f t="shared" si="174"/>
        <v>0</v>
      </c>
      <c r="AO114" s="38">
        <f t="shared" si="174"/>
        <v>0</v>
      </c>
      <c r="AP114" s="38">
        <f t="shared" si="174"/>
        <v>0</v>
      </c>
      <c r="AQ114" s="38">
        <f t="shared" si="174"/>
        <v>0</v>
      </c>
      <c r="AR114" s="38">
        <f t="shared" si="174"/>
        <v>0</v>
      </c>
      <c r="AS114" s="38">
        <f t="shared" si="174"/>
        <v>0</v>
      </c>
      <c r="AT114" s="38">
        <f t="shared" si="174"/>
        <v>0</v>
      </c>
      <c r="AU114" s="38">
        <f t="shared" si="174"/>
        <v>0</v>
      </c>
    </row>
    <row r="115" spans="2:47" x14ac:dyDescent="0.35">
      <c r="D115" s="3" t="s">
        <v>52</v>
      </c>
      <c r="E115" s="23"/>
      <c r="F115" s="23"/>
      <c r="G115" s="23"/>
      <c r="H115" s="23"/>
      <c r="I115" s="23" t="s">
        <v>114</v>
      </c>
      <c r="J115" s="23"/>
      <c r="K115" s="40">
        <f t="shared" ref="K115:AU115" si="175">K112*K114/K113</f>
        <v>0</v>
      </c>
      <c r="L115" s="40">
        <f t="shared" si="175"/>
        <v>0</v>
      </c>
      <c r="M115" s="40">
        <f t="shared" si="175"/>
        <v>0</v>
      </c>
      <c r="N115" s="40">
        <f t="shared" si="175"/>
        <v>0</v>
      </c>
      <c r="O115" s="40">
        <f t="shared" si="175"/>
        <v>0</v>
      </c>
      <c r="P115" s="40">
        <f t="shared" si="175"/>
        <v>0</v>
      </c>
      <c r="Q115" s="40">
        <f t="shared" si="175"/>
        <v>0</v>
      </c>
      <c r="R115" s="40">
        <f t="shared" si="175"/>
        <v>0</v>
      </c>
      <c r="S115" s="40">
        <f t="shared" si="175"/>
        <v>0</v>
      </c>
      <c r="T115" s="40">
        <f t="shared" si="175"/>
        <v>0</v>
      </c>
      <c r="U115" s="40">
        <f t="shared" si="175"/>
        <v>0</v>
      </c>
      <c r="V115" s="40">
        <f t="shared" si="175"/>
        <v>0</v>
      </c>
      <c r="W115" s="40">
        <f t="shared" si="175"/>
        <v>0</v>
      </c>
      <c r="X115" s="40">
        <f t="shared" si="175"/>
        <v>0</v>
      </c>
      <c r="Y115" s="40">
        <f t="shared" si="175"/>
        <v>0</v>
      </c>
      <c r="Z115" s="40">
        <f t="shared" si="175"/>
        <v>0</v>
      </c>
      <c r="AA115" s="40">
        <f t="shared" si="175"/>
        <v>0</v>
      </c>
      <c r="AB115" s="40">
        <f t="shared" si="175"/>
        <v>0</v>
      </c>
      <c r="AC115" s="40">
        <f t="shared" si="175"/>
        <v>0</v>
      </c>
      <c r="AD115" s="40">
        <f t="shared" si="175"/>
        <v>0</v>
      </c>
      <c r="AE115" s="40">
        <f t="shared" si="175"/>
        <v>0</v>
      </c>
      <c r="AF115" s="40">
        <f t="shared" si="175"/>
        <v>0</v>
      </c>
      <c r="AG115" s="40">
        <f t="shared" si="175"/>
        <v>0</v>
      </c>
      <c r="AH115" s="40">
        <f t="shared" si="175"/>
        <v>0</v>
      </c>
      <c r="AI115" s="40">
        <f t="shared" si="175"/>
        <v>0</v>
      </c>
      <c r="AJ115" s="40">
        <f t="shared" si="175"/>
        <v>0</v>
      </c>
      <c r="AK115" s="40">
        <f t="shared" si="175"/>
        <v>0</v>
      </c>
      <c r="AL115" s="40">
        <f t="shared" si="175"/>
        <v>0</v>
      </c>
      <c r="AM115" s="40">
        <f t="shared" si="175"/>
        <v>0</v>
      </c>
      <c r="AN115" s="40">
        <f t="shared" si="175"/>
        <v>0</v>
      </c>
      <c r="AO115" s="40">
        <f t="shared" si="175"/>
        <v>0</v>
      </c>
      <c r="AP115" s="40">
        <f t="shared" si="175"/>
        <v>0</v>
      </c>
      <c r="AQ115" s="40">
        <f t="shared" si="175"/>
        <v>0</v>
      </c>
      <c r="AR115" s="40">
        <f t="shared" si="175"/>
        <v>0</v>
      </c>
      <c r="AS115" s="40">
        <f t="shared" si="175"/>
        <v>0</v>
      </c>
      <c r="AT115" s="40">
        <f t="shared" si="175"/>
        <v>0</v>
      </c>
      <c r="AU115" s="40">
        <f t="shared" si="175"/>
        <v>0</v>
      </c>
    </row>
    <row r="117" spans="2:47" x14ac:dyDescent="0.35">
      <c r="D117" s="2" t="s">
        <v>53</v>
      </c>
      <c r="I117" s="16" t="s">
        <v>114</v>
      </c>
      <c r="K117" s="38">
        <f>K109-K115</f>
        <v>0</v>
      </c>
      <c r="L117" s="38">
        <f t="shared" ref="L117:AU117" si="176">L109-L115</f>
        <v>0</v>
      </c>
      <c r="M117" s="38">
        <f t="shared" si="176"/>
        <v>0</v>
      </c>
      <c r="N117" s="38">
        <f t="shared" si="176"/>
        <v>0</v>
      </c>
      <c r="O117" s="38">
        <f t="shared" si="176"/>
        <v>0</v>
      </c>
      <c r="P117" s="38">
        <f t="shared" si="176"/>
        <v>0</v>
      </c>
      <c r="Q117" s="38">
        <f t="shared" si="176"/>
        <v>0</v>
      </c>
      <c r="R117" s="38">
        <f t="shared" si="176"/>
        <v>0</v>
      </c>
      <c r="S117" s="38">
        <f t="shared" si="176"/>
        <v>0</v>
      </c>
      <c r="T117" s="38">
        <f t="shared" si="176"/>
        <v>0</v>
      </c>
      <c r="U117" s="38">
        <f t="shared" si="176"/>
        <v>0</v>
      </c>
      <c r="V117" s="38">
        <f t="shared" si="176"/>
        <v>0</v>
      </c>
      <c r="W117" s="38">
        <f t="shared" si="176"/>
        <v>0</v>
      </c>
      <c r="X117" s="38">
        <f t="shared" si="176"/>
        <v>0</v>
      </c>
      <c r="Y117" s="38">
        <f t="shared" si="176"/>
        <v>0</v>
      </c>
      <c r="Z117" s="38">
        <f t="shared" si="176"/>
        <v>0</v>
      </c>
      <c r="AA117" s="38">
        <f t="shared" si="176"/>
        <v>0</v>
      </c>
      <c r="AB117" s="38">
        <f t="shared" si="176"/>
        <v>0</v>
      </c>
      <c r="AC117" s="38">
        <f t="shared" si="176"/>
        <v>0</v>
      </c>
      <c r="AD117" s="38">
        <f t="shared" si="176"/>
        <v>0</v>
      </c>
      <c r="AE117" s="38">
        <f t="shared" si="176"/>
        <v>0</v>
      </c>
      <c r="AF117" s="38">
        <f t="shared" si="176"/>
        <v>0</v>
      </c>
      <c r="AG117" s="38">
        <f t="shared" si="176"/>
        <v>0</v>
      </c>
      <c r="AH117" s="38">
        <f t="shared" si="176"/>
        <v>0</v>
      </c>
      <c r="AI117" s="38">
        <f t="shared" si="176"/>
        <v>0</v>
      </c>
      <c r="AJ117" s="38">
        <f t="shared" si="176"/>
        <v>0</v>
      </c>
      <c r="AK117" s="38">
        <f t="shared" si="176"/>
        <v>0</v>
      </c>
      <c r="AL117" s="38">
        <f t="shared" si="176"/>
        <v>0</v>
      </c>
      <c r="AM117" s="38">
        <f t="shared" si="176"/>
        <v>0</v>
      </c>
      <c r="AN117" s="38">
        <f t="shared" si="176"/>
        <v>0</v>
      </c>
      <c r="AO117" s="38">
        <f t="shared" si="176"/>
        <v>0</v>
      </c>
      <c r="AP117" s="38">
        <f t="shared" si="176"/>
        <v>0</v>
      </c>
      <c r="AQ117" s="38">
        <f t="shared" si="176"/>
        <v>0</v>
      </c>
      <c r="AR117" s="38">
        <f t="shared" si="176"/>
        <v>0</v>
      </c>
      <c r="AS117" s="38">
        <f t="shared" si="176"/>
        <v>0</v>
      </c>
      <c r="AT117" s="38">
        <f t="shared" si="176"/>
        <v>0</v>
      </c>
      <c r="AU117" s="38">
        <f t="shared" si="176"/>
        <v>0</v>
      </c>
    </row>
    <row r="118" spans="2:47" x14ac:dyDescent="0.35">
      <c r="D118" s="3" t="s">
        <v>54</v>
      </c>
      <c r="E118" s="23"/>
      <c r="F118" s="23"/>
      <c r="G118" s="23"/>
      <c r="H118" s="23"/>
      <c r="I118" s="23" t="s">
        <v>114</v>
      </c>
      <c r="J118" s="82">
        <f>SUM(K118:AU118)</f>
        <v>0</v>
      </c>
      <c r="K118" s="40">
        <f>K117-J117</f>
        <v>0</v>
      </c>
      <c r="L118" s="40">
        <f t="shared" ref="L118:AU118" si="177">L117-K117</f>
        <v>0</v>
      </c>
      <c r="M118" s="40">
        <f t="shared" si="177"/>
        <v>0</v>
      </c>
      <c r="N118" s="40">
        <f t="shared" si="177"/>
        <v>0</v>
      </c>
      <c r="O118" s="40">
        <f t="shared" si="177"/>
        <v>0</v>
      </c>
      <c r="P118" s="40">
        <f t="shared" si="177"/>
        <v>0</v>
      </c>
      <c r="Q118" s="40">
        <f t="shared" si="177"/>
        <v>0</v>
      </c>
      <c r="R118" s="40">
        <f t="shared" si="177"/>
        <v>0</v>
      </c>
      <c r="S118" s="40">
        <f t="shared" si="177"/>
        <v>0</v>
      </c>
      <c r="T118" s="40">
        <f t="shared" si="177"/>
        <v>0</v>
      </c>
      <c r="U118" s="40">
        <f t="shared" si="177"/>
        <v>0</v>
      </c>
      <c r="V118" s="40">
        <f t="shared" si="177"/>
        <v>0</v>
      </c>
      <c r="W118" s="40">
        <f t="shared" si="177"/>
        <v>0</v>
      </c>
      <c r="X118" s="40">
        <f t="shared" si="177"/>
        <v>0</v>
      </c>
      <c r="Y118" s="40">
        <f t="shared" si="177"/>
        <v>0</v>
      </c>
      <c r="Z118" s="40">
        <f t="shared" si="177"/>
        <v>0</v>
      </c>
      <c r="AA118" s="40">
        <f t="shared" si="177"/>
        <v>0</v>
      </c>
      <c r="AB118" s="40">
        <f t="shared" si="177"/>
        <v>0</v>
      </c>
      <c r="AC118" s="40">
        <f t="shared" si="177"/>
        <v>0</v>
      </c>
      <c r="AD118" s="40">
        <f t="shared" si="177"/>
        <v>0</v>
      </c>
      <c r="AE118" s="40">
        <f t="shared" si="177"/>
        <v>0</v>
      </c>
      <c r="AF118" s="40">
        <f t="shared" si="177"/>
        <v>0</v>
      </c>
      <c r="AG118" s="40">
        <f t="shared" si="177"/>
        <v>0</v>
      </c>
      <c r="AH118" s="40">
        <f t="shared" si="177"/>
        <v>0</v>
      </c>
      <c r="AI118" s="40">
        <f t="shared" si="177"/>
        <v>0</v>
      </c>
      <c r="AJ118" s="40">
        <f t="shared" si="177"/>
        <v>0</v>
      </c>
      <c r="AK118" s="40">
        <f t="shared" si="177"/>
        <v>0</v>
      </c>
      <c r="AL118" s="40">
        <f t="shared" si="177"/>
        <v>0</v>
      </c>
      <c r="AM118" s="40">
        <f t="shared" si="177"/>
        <v>0</v>
      </c>
      <c r="AN118" s="40">
        <f t="shared" si="177"/>
        <v>0</v>
      </c>
      <c r="AO118" s="40">
        <f t="shared" si="177"/>
        <v>0</v>
      </c>
      <c r="AP118" s="40">
        <f t="shared" si="177"/>
        <v>0</v>
      </c>
      <c r="AQ118" s="40">
        <f t="shared" si="177"/>
        <v>0</v>
      </c>
      <c r="AR118" s="40">
        <f t="shared" si="177"/>
        <v>0</v>
      </c>
      <c r="AS118" s="40">
        <f t="shared" si="177"/>
        <v>0</v>
      </c>
      <c r="AT118" s="40">
        <f t="shared" si="177"/>
        <v>0</v>
      </c>
      <c r="AU118" s="40">
        <f t="shared" si="177"/>
        <v>0</v>
      </c>
    </row>
    <row r="119" spans="2:47" x14ac:dyDescent="0.35">
      <c r="D119" s="42"/>
      <c r="E119" s="47"/>
      <c r="F119" s="47"/>
      <c r="G119" s="47"/>
      <c r="H119" s="47"/>
      <c r="I119" s="47"/>
      <c r="J119" s="59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</row>
    <row r="120" spans="2:47" x14ac:dyDescent="0.35">
      <c r="B120" s="1" t="s">
        <v>55</v>
      </c>
    </row>
    <row r="121" spans="2:47" x14ac:dyDescent="0.35">
      <c r="D121" s="8" t="str">
        <f>D83</f>
        <v>EBITDA</v>
      </c>
      <c r="I121" s="16" t="s">
        <v>114</v>
      </c>
      <c r="J121" s="61">
        <f>SUM(K121:AU121)</f>
        <v>473783665.93627751</v>
      </c>
      <c r="K121" s="38">
        <f t="shared" ref="K121:AU121" si="178">K83</f>
        <v>0</v>
      </c>
      <c r="L121" s="38">
        <f t="shared" si="178"/>
        <v>15044301.311999999</v>
      </c>
      <c r="M121" s="38">
        <f t="shared" si="178"/>
        <v>14932807.016908802</v>
      </c>
      <c r="N121" s="38">
        <f t="shared" si="178"/>
        <v>14819875.328743938</v>
      </c>
      <c r="O121" s="38">
        <f t="shared" si="178"/>
        <v>14705447.35098901</v>
      </c>
      <c r="P121" s="38">
        <f t="shared" si="178"/>
        <v>14589462.587966301</v>
      </c>
      <c r="Q121" s="38">
        <f t="shared" si="178"/>
        <v>14471858.90189231</v>
      </c>
      <c r="R121" s="38">
        <f t="shared" si="178"/>
        <v>14352572.468820866</v>
      </c>
      <c r="S121" s="38">
        <f t="shared" si="178"/>
        <v>14231537.733445384</v>
      </c>
      <c r="T121" s="38">
        <f t="shared" si="178"/>
        <v>14108687.362731151</v>
      </c>
      <c r="U121" s="38">
        <f t="shared" si="178"/>
        <v>13983952.198347859</v>
      </c>
      <c r="V121" s="38">
        <f t="shared" si="178"/>
        <v>11787928.323808944</v>
      </c>
      <c r="W121" s="38">
        <f t="shared" si="178"/>
        <v>11901509.957131051</v>
      </c>
      <c r="X121" s="38">
        <f t="shared" si="178"/>
        <v>12015232.494322103</v>
      </c>
      <c r="Y121" s="38">
        <f t="shared" si="178"/>
        <v>12129059.248288043</v>
      </c>
      <c r="Z121" s="38">
        <f t="shared" si="178"/>
        <v>12242952.015633088</v>
      </c>
      <c r="AA121" s="38">
        <f t="shared" si="178"/>
        <v>12356871.029825214</v>
      </c>
      <c r="AB121" s="38">
        <f t="shared" si="178"/>
        <v>12470774.913057785</v>
      </c>
      <c r="AC121" s="38">
        <f t="shared" si="178"/>
        <v>12584620.626772726</v>
      </c>
      <c r="AD121" s="38">
        <f t="shared" si="178"/>
        <v>12698363.420809768</v>
      </c>
      <c r="AE121" s="38">
        <f t="shared" si="178"/>
        <v>12811956.781145427</v>
      </c>
      <c r="AF121" s="38">
        <f t="shared" si="178"/>
        <v>12925352.376184225</v>
      </c>
      <c r="AG121" s="38">
        <f t="shared" si="178"/>
        <v>13038500.001564095</v>
      </c>
      <c r="AH121" s="38">
        <f t="shared" si="178"/>
        <v>13151347.523436485</v>
      </c>
      <c r="AI121" s="38">
        <f t="shared" si="178"/>
        <v>13263840.820181005</v>
      </c>
      <c r="AJ121" s="38">
        <f t="shared" si="178"/>
        <v>13375923.722513154</v>
      </c>
      <c r="AK121" s="38">
        <f t="shared" si="178"/>
        <v>13487537.951942842</v>
      </c>
      <c r="AL121" s="38">
        <f t="shared" si="178"/>
        <v>13598623.057540135</v>
      </c>
      <c r="AM121" s="38">
        <f t="shared" si="178"/>
        <v>13709116.350963663</v>
      </c>
      <c r="AN121" s="38">
        <f t="shared" si="178"/>
        <v>13818952.839705851</v>
      </c>
      <c r="AO121" s="38">
        <f t="shared" si="178"/>
        <v>13928065.158508116</v>
      </c>
      <c r="AP121" s="38">
        <f t="shared" si="178"/>
        <v>14036383.49889781</v>
      </c>
      <c r="AQ121" s="38">
        <f t="shared" si="178"/>
        <v>14143835.536797505</v>
      </c>
      <c r="AR121" s="38">
        <f t="shared" si="178"/>
        <v>14250346.358156057</v>
      </c>
      <c r="AS121" s="38">
        <f t="shared" si="178"/>
        <v>14355838.38254936</v>
      </c>
      <c r="AT121" s="38">
        <f t="shared" si="178"/>
        <v>14460231.28469754</v>
      </c>
      <c r="AU121" s="38">
        <f t="shared" si="178"/>
        <v>0</v>
      </c>
    </row>
    <row r="122" spans="2:47" x14ac:dyDescent="0.35">
      <c r="D122" s="38" t="str">
        <f>"Less: "&amp;D69</f>
        <v>Less: Total capital expenditure</v>
      </c>
      <c r="I122" s="16" t="s">
        <v>114</v>
      </c>
      <c r="J122" s="61">
        <f>SUM(K122:AU122)</f>
        <v>-220000000</v>
      </c>
      <c r="K122" s="38">
        <f t="shared" ref="K122:AU122" si="179">-K69</f>
        <v>-220000000</v>
      </c>
      <c r="L122" s="38">
        <f t="shared" si="179"/>
        <v>0</v>
      </c>
      <c r="M122" s="38">
        <f t="shared" si="179"/>
        <v>0</v>
      </c>
      <c r="N122" s="38">
        <f t="shared" si="179"/>
        <v>0</v>
      </c>
      <c r="O122" s="38">
        <f t="shared" si="179"/>
        <v>0</v>
      </c>
      <c r="P122" s="38">
        <f t="shared" si="179"/>
        <v>0</v>
      </c>
      <c r="Q122" s="38">
        <f t="shared" si="179"/>
        <v>0</v>
      </c>
      <c r="R122" s="38">
        <f t="shared" si="179"/>
        <v>0</v>
      </c>
      <c r="S122" s="38">
        <f t="shared" si="179"/>
        <v>0</v>
      </c>
      <c r="T122" s="38">
        <f t="shared" si="179"/>
        <v>0</v>
      </c>
      <c r="U122" s="38">
        <f t="shared" si="179"/>
        <v>0</v>
      </c>
      <c r="V122" s="38">
        <f t="shared" si="179"/>
        <v>0</v>
      </c>
      <c r="W122" s="38">
        <f t="shared" si="179"/>
        <v>0</v>
      </c>
      <c r="X122" s="38">
        <f t="shared" si="179"/>
        <v>0</v>
      </c>
      <c r="Y122" s="38">
        <f t="shared" si="179"/>
        <v>0</v>
      </c>
      <c r="Z122" s="38">
        <f t="shared" si="179"/>
        <v>0</v>
      </c>
      <c r="AA122" s="38">
        <f t="shared" si="179"/>
        <v>0</v>
      </c>
      <c r="AB122" s="38">
        <f t="shared" si="179"/>
        <v>0</v>
      </c>
      <c r="AC122" s="38">
        <f t="shared" si="179"/>
        <v>0</v>
      </c>
      <c r="AD122" s="38">
        <f t="shared" si="179"/>
        <v>0</v>
      </c>
      <c r="AE122" s="38">
        <f t="shared" si="179"/>
        <v>0</v>
      </c>
      <c r="AF122" s="38">
        <f t="shared" si="179"/>
        <v>0</v>
      </c>
      <c r="AG122" s="38">
        <f t="shared" si="179"/>
        <v>0</v>
      </c>
      <c r="AH122" s="38">
        <f t="shared" si="179"/>
        <v>0</v>
      </c>
      <c r="AI122" s="38">
        <f t="shared" si="179"/>
        <v>0</v>
      </c>
      <c r="AJ122" s="38">
        <f t="shared" si="179"/>
        <v>0</v>
      </c>
      <c r="AK122" s="38">
        <f t="shared" si="179"/>
        <v>0</v>
      </c>
      <c r="AL122" s="38">
        <f t="shared" si="179"/>
        <v>0</v>
      </c>
      <c r="AM122" s="38">
        <f t="shared" si="179"/>
        <v>0</v>
      </c>
      <c r="AN122" s="38">
        <f t="shared" si="179"/>
        <v>0</v>
      </c>
      <c r="AO122" s="38">
        <f t="shared" si="179"/>
        <v>0</v>
      </c>
      <c r="AP122" s="38">
        <f t="shared" si="179"/>
        <v>0</v>
      </c>
      <c r="AQ122" s="38">
        <f t="shared" si="179"/>
        <v>0</v>
      </c>
      <c r="AR122" s="38">
        <f t="shared" si="179"/>
        <v>0</v>
      </c>
      <c r="AS122" s="38">
        <f t="shared" si="179"/>
        <v>0</v>
      </c>
      <c r="AT122" s="38">
        <f t="shared" si="179"/>
        <v>0</v>
      </c>
      <c r="AU122" s="38">
        <f t="shared" si="179"/>
        <v>0</v>
      </c>
    </row>
    <row r="123" spans="2:47" x14ac:dyDescent="0.35">
      <c r="D123" s="38" t="str">
        <f>"Less: "&amp;D70</f>
        <v>Less: Interest during construction</v>
      </c>
      <c r="I123" s="16" t="s">
        <v>114</v>
      </c>
      <c r="J123" s="61">
        <f t="shared" ref="J123:J124" si="180">SUM(K123:AU123)</f>
        <v>-8568629.8388254847</v>
      </c>
      <c r="K123" s="38">
        <f>-K70</f>
        <v>-8568629.8388254847</v>
      </c>
      <c r="L123" s="38">
        <f t="shared" ref="L123:AU123" si="181">L70</f>
        <v>0</v>
      </c>
      <c r="M123" s="38">
        <f t="shared" si="181"/>
        <v>0</v>
      </c>
      <c r="N123" s="38">
        <f t="shared" si="181"/>
        <v>0</v>
      </c>
      <c r="O123" s="38">
        <f t="shared" si="181"/>
        <v>0</v>
      </c>
      <c r="P123" s="38">
        <f t="shared" si="181"/>
        <v>0</v>
      </c>
      <c r="Q123" s="38">
        <f t="shared" si="181"/>
        <v>0</v>
      </c>
      <c r="R123" s="38">
        <f t="shared" si="181"/>
        <v>0</v>
      </c>
      <c r="S123" s="38">
        <f t="shared" si="181"/>
        <v>0</v>
      </c>
      <c r="T123" s="38">
        <f t="shared" si="181"/>
        <v>0</v>
      </c>
      <c r="U123" s="38">
        <f t="shared" si="181"/>
        <v>0</v>
      </c>
      <c r="V123" s="38">
        <f t="shared" si="181"/>
        <v>0</v>
      </c>
      <c r="W123" s="38">
        <f t="shared" si="181"/>
        <v>0</v>
      </c>
      <c r="X123" s="38">
        <f t="shared" si="181"/>
        <v>0</v>
      </c>
      <c r="Y123" s="38">
        <f t="shared" si="181"/>
        <v>0</v>
      </c>
      <c r="Z123" s="38">
        <f t="shared" si="181"/>
        <v>0</v>
      </c>
      <c r="AA123" s="38">
        <f t="shared" si="181"/>
        <v>0</v>
      </c>
      <c r="AB123" s="38">
        <f t="shared" si="181"/>
        <v>0</v>
      </c>
      <c r="AC123" s="38">
        <f t="shared" si="181"/>
        <v>0</v>
      </c>
      <c r="AD123" s="38">
        <f t="shared" si="181"/>
        <v>0</v>
      </c>
      <c r="AE123" s="38">
        <f t="shared" si="181"/>
        <v>0</v>
      </c>
      <c r="AF123" s="38">
        <f t="shared" si="181"/>
        <v>0</v>
      </c>
      <c r="AG123" s="38">
        <f t="shared" si="181"/>
        <v>0</v>
      </c>
      <c r="AH123" s="38">
        <f t="shared" si="181"/>
        <v>0</v>
      </c>
      <c r="AI123" s="38">
        <f t="shared" si="181"/>
        <v>0</v>
      </c>
      <c r="AJ123" s="38">
        <f t="shared" si="181"/>
        <v>0</v>
      </c>
      <c r="AK123" s="38">
        <f t="shared" si="181"/>
        <v>0</v>
      </c>
      <c r="AL123" s="38">
        <f t="shared" si="181"/>
        <v>0</v>
      </c>
      <c r="AM123" s="38">
        <f t="shared" si="181"/>
        <v>0</v>
      </c>
      <c r="AN123" s="38">
        <f t="shared" si="181"/>
        <v>0</v>
      </c>
      <c r="AO123" s="38">
        <f t="shared" si="181"/>
        <v>0</v>
      </c>
      <c r="AP123" s="38">
        <f t="shared" si="181"/>
        <v>0</v>
      </c>
      <c r="AQ123" s="38">
        <f t="shared" si="181"/>
        <v>0</v>
      </c>
      <c r="AR123" s="38">
        <f t="shared" si="181"/>
        <v>0</v>
      </c>
      <c r="AS123" s="38">
        <f t="shared" si="181"/>
        <v>0</v>
      </c>
      <c r="AT123" s="38">
        <f t="shared" si="181"/>
        <v>0</v>
      </c>
      <c r="AU123" s="38">
        <f t="shared" si="181"/>
        <v>0</v>
      </c>
    </row>
    <row r="124" spans="2:47" x14ac:dyDescent="0.35">
      <c r="D124" s="38" t="str">
        <f>"Less: "&amp;D178</f>
        <v>Less: Letter of credit fee</v>
      </c>
      <c r="I124" s="16" t="s">
        <v>114</v>
      </c>
      <c r="J124" s="61">
        <f t="shared" ca="1" si="180"/>
        <v>-432288.59387528634</v>
      </c>
      <c r="K124" s="38">
        <f ca="1">-K178</f>
        <v>0</v>
      </c>
      <c r="L124" s="38">
        <f t="shared" ref="L124:AU124" ca="1" si="182">-L178</f>
        <v>-108072.14846882159</v>
      </c>
      <c r="M124" s="38">
        <f t="shared" ca="1" si="182"/>
        <v>-108072.14846882159</v>
      </c>
      <c r="N124" s="38">
        <f t="shared" ca="1" si="182"/>
        <v>-108072.14846882159</v>
      </c>
      <c r="O124" s="38">
        <f t="shared" ca="1" si="182"/>
        <v>-108072.14846882159</v>
      </c>
      <c r="P124" s="38">
        <f t="shared" ca="1" si="182"/>
        <v>0</v>
      </c>
      <c r="Q124" s="38">
        <f t="shared" ca="1" si="182"/>
        <v>0</v>
      </c>
      <c r="R124" s="38">
        <f t="shared" ca="1" si="182"/>
        <v>0</v>
      </c>
      <c r="S124" s="38">
        <f t="shared" ca="1" si="182"/>
        <v>0</v>
      </c>
      <c r="T124" s="38">
        <f t="shared" ca="1" si="182"/>
        <v>0</v>
      </c>
      <c r="U124" s="38">
        <f t="shared" ca="1" si="182"/>
        <v>0</v>
      </c>
      <c r="V124" s="38">
        <f t="shared" ca="1" si="182"/>
        <v>0</v>
      </c>
      <c r="W124" s="38">
        <f t="shared" ca="1" si="182"/>
        <v>0</v>
      </c>
      <c r="X124" s="38">
        <f t="shared" ca="1" si="182"/>
        <v>0</v>
      </c>
      <c r="Y124" s="38">
        <f t="shared" ca="1" si="182"/>
        <v>0</v>
      </c>
      <c r="Z124" s="38">
        <f t="shared" ca="1" si="182"/>
        <v>0</v>
      </c>
      <c r="AA124" s="38">
        <f t="shared" ca="1" si="182"/>
        <v>0</v>
      </c>
      <c r="AB124" s="38">
        <f t="shared" ca="1" si="182"/>
        <v>0</v>
      </c>
      <c r="AC124" s="38">
        <f t="shared" ca="1" si="182"/>
        <v>0</v>
      </c>
      <c r="AD124" s="38">
        <f t="shared" ca="1" si="182"/>
        <v>0</v>
      </c>
      <c r="AE124" s="38">
        <f t="shared" ca="1" si="182"/>
        <v>0</v>
      </c>
      <c r="AF124" s="38">
        <f t="shared" ca="1" si="182"/>
        <v>0</v>
      </c>
      <c r="AG124" s="38">
        <f t="shared" ca="1" si="182"/>
        <v>0</v>
      </c>
      <c r="AH124" s="38">
        <f t="shared" ca="1" si="182"/>
        <v>0</v>
      </c>
      <c r="AI124" s="38">
        <f t="shared" ca="1" si="182"/>
        <v>0</v>
      </c>
      <c r="AJ124" s="38">
        <f t="shared" ca="1" si="182"/>
        <v>0</v>
      </c>
      <c r="AK124" s="38">
        <f t="shared" ca="1" si="182"/>
        <v>0</v>
      </c>
      <c r="AL124" s="38">
        <f t="shared" ca="1" si="182"/>
        <v>0</v>
      </c>
      <c r="AM124" s="38">
        <f t="shared" ca="1" si="182"/>
        <v>0</v>
      </c>
      <c r="AN124" s="38">
        <f t="shared" ca="1" si="182"/>
        <v>0</v>
      </c>
      <c r="AO124" s="38">
        <f t="shared" ca="1" si="182"/>
        <v>0</v>
      </c>
      <c r="AP124" s="38">
        <f t="shared" ca="1" si="182"/>
        <v>0</v>
      </c>
      <c r="AQ124" s="38">
        <f t="shared" ca="1" si="182"/>
        <v>0</v>
      </c>
      <c r="AR124" s="38">
        <f t="shared" ca="1" si="182"/>
        <v>0</v>
      </c>
      <c r="AS124" s="38">
        <f t="shared" ca="1" si="182"/>
        <v>0</v>
      </c>
      <c r="AT124" s="38">
        <f t="shared" ca="1" si="182"/>
        <v>0</v>
      </c>
      <c r="AU124" s="38">
        <f t="shared" ca="1" si="182"/>
        <v>0</v>
      </c>
    </row>
    <row r="125" spans="2:47" x14ac:dyDescent="0.35">
      <c r="D125" s="38" t="str">
        <f>"Less: "&amp;D118</f>
        <v>Less: Changes in working capital</v>
      </c>
      <c r="I125" s="16" t="s">
        <v>114</v>
      </c>
      <c r="J125" s="61">
        <f>SUM(K125:AU125)</f>
        <v>0</v>
      </c>
      <c r="K125" s="38">
        <f t="shared" ref="K125:AU125" si="183">-K118</f>
        <v>0</v>
      </c>
      <c r="L125" s="38">
        <f t="shared" si="183"/>
        <v>0</v>
      </c>
      <c r="M125" s="38">
        <f t="shared" si="183"/>
        <v>0</v>
      </c>
      <c r="N125" s="38">
        <f t="shared" si="183"/>
        <v>0</v>
      </c>
      <c r="O125" s="38">
        <f t="shared" si="183"/>
        <v>0</v>
      </c>
      <c r="P125" s="38">
        <f t="shared" si="183"/>
        <v>0</v>
      </c>
      <c r="Q125" s="38">
        <f t="shared" si="183"/>
        <v>0</v>
      </c>
      <c r="R125" s="38">
        <f t="shared" si="183"/>
        <v>0</v>
      </c>
      <c r="S125" s="38">
        <f t="shared" si="183"/>
        <v>0</v>
      </c>
      <c r="T125" s="38">
        <f t="shared" si="183"/>
        <v>0</v>
      </c>
      <c r="U125" s="38">
        <f t="shared" si="183"/>
        <v>0</v>
      </c>
      <c r="V125" s="38">
        <f t="shared" si="183"/>
        <v>0</v>
      </c>
      <c r="W125" s="38">
        <f t="shared" si="183"/>
        <v>0</v>
      </c>
      <c r="X125" s="38">
        <f t="shared" si="183"/>
        <v>0</v>
      </c>
      <c r="Y125" s="38">
        <f t="shared" si="183"/>
        <v>0</v>
      </c>
      <c r="Z125" s="38">
        <f t="shared" si="183"/>
        <v>0</v>
      </c>
      <c r="AA125" s="38">
        <f t="shared" si="183"/>
        <v>0</v>
      </c>
      <c r="AB125" s="38">
        <f t="shared" si="183"/>
        <v>0</v>
      </c>
      <c r="AC125" s="38">
        <f t="shared" si="183"/>
        <v>0</v>
      </c>
      <c r="AD125" s="38">
        <f t="shared" si="183"/>
        <v>0</v>
      </c>
      <c r="AE125" s="38">
        <f t="shared" si="183"/>
        <v>0</v>
      </c>
      <c r="AF125" s="38">
        <f t="shared" si="183"/>
        <v>0</v>
      </c>
      <c r="AG125" s="38">
        <f t="shared" si="183"/>
        <v>0</v>
      </c>
      <c r="AH125" s="38">
        <f t="shared" si="183"/>
        <v>0</v>
      </c>
      <c r="AI125" s="38">
        <f t="shared" si="183"/>
        <v>0</v>
      </c>
      <c r="AJ125" s="38">
        <f t="shared" si="183"/>
        <v>0</v>
      </c>
      <c r="AK125" s="38">
        <f t="shared" si="183"/>
        <v>0</v>
      </c>
      <c r="AL125" s="38">
        <f t="shared" si="183"/>
        <v>0</v>
      </c>
      <c r="AM125" s="38">
        <f t="shared" si="183"/>
        <v>0</v>
      </c>
      <c r="AN125" s="38">
        <f t="shared" si="183"/>
        <v>0</v>
      </c>
      <c r="AO125" s="38">
        <f t="shared" si="183"/>
        <v>0</v>
      </c>
      <c r="AP125" s="38">
        <f t="shared" si="183"/>
        <v>0</v>
      </c>
      <c r="AQ125" s="38">
        <f t="shared" si="183"/>
        <v>0</v>
      </c>
      <c r="AR125" s="38">
        <f t="shared" si="183"/>
        <v>0</v>
      </c>
      <c r="AS125" s="38">
        <f t="shared" si="183"/>
        <v>0</v>
      </c>
      <c r="AT125" s="38">
        <f t="shared" si="183"/>
        <v>0</v>
      </c>
      <c r="AU125" s="38">
        <f t="shared" si="183"/>
        <v>0</v>
      </c>
    </row>
    <row r="126" spans="2:47" x14ac:dyDescent="0.35">
      <c r="D126" s="38" t="str">
        <f>"Less: "&amp;D98</f>
        <v>Less: Tax expense</v>
      </c>
      <c r="I126" s="16" t="s">
        <v>114</v>
      </c>
      <c r="J126" s="61">
        <f>SUM(K126:AU126)</f>
        <v>-62036503.109964684</v>
      </c>
      <c r="K126" s="38">
        <f t="shared" ref="K126:AU126" si="184">-K98</f>
        <v>0</v>
      </c>
      <c r="L126" s="38">
        <f t="shared" si="184"/>
        <v>0</v>
      </c>
      <c r="M126" s="38">
        <f t="shared" si="184"/>
        <v>0</v>
      </c>
      <c r="N126" s="38">
        <f t="shared" si="184"/>
        <v>0</v>
      </c>
      <c r="O126" s="38">
        <f t="shared" si="184"/>
        <v>0</v>
      </c>
      <c r="P126" s="38">
        <f t="shared" si="184"/>
        <v>0</v>
      </c>
      <c r="Q126" s="38">
        <f t="shared" si="184"/>
        <v>0</v>
      </c>
      <c r="R126" s="38">
        <f t="shared" si="184"/>
        <v>0</v>
      </c>
      <c r="S126" s="38">
        <f t="shared" si="184"/>
        <v>0</v>
      </c>
      <c r="T126" s="38">
        <f t="shared" si="184"/>
        <v>0</v>
      </c>
      <c r="U126" s="38">
        <f t="shared" si="184"/>
        <v>0</v>
      </c>
      <c r="V126" s="38">
        <f t="shared" si="184"/>
        <v>0</v>
      </c>
      <c r="W126" s="38">
        <f t="shared" si="184"/>
        <v>0</v>
      </c>
      <c r="X126" s="38">
        <f t="shared" si="184"/>
        <v>0</v>
      </c>
      <c r="Y126" s="38">
        <f t="shared" si="184"/>
        <v>0</v>
      </c>
      <c r="Z126" s="38">
        <f t="shared" si="184"/>
        <v>0</v>
      </c>
      <c r="AA126" s="38">
        <f t="shared" si="184"/>
        <v>0</v>
      </c>
      <c r="AB126" s="38">
        <f t="shared" si="184"/>
        <v>0</v>
      </c>
      <c r="AC126" s="38">
        <f t="shared" si="184"/>
        <v>0</v>
      </c>
      <c r="AD126" s="38">
        <f t="shared" si="184"/>
        <v>0</v>
      </c>
      <c r="AE126" s="38">
        <f t="shared" si="184"/>
        <v>-373334.65087334363</v>
      </c>
      <c r="AF126" s="38">
        <f t="shared" si="184"/>
        <v>-3877605.7128552673</v>
      </c>
      <c r="AG126" s="38">
        <f t="shared" si="184"/>
        <v>-3911550.0004692283</v>
      </c>
      <c r="AH126" s="38">
        <f t="shared" si="184"/>
        <v>-3945404.2570309453</v>
      </c>
      <c r="AI126" s="38">
        <f t="shared" si="184"/>
        <v>-3979152.246054301</v>
      </c>
      <c r="AJ126" s="38">
        <f t="shared" si="184"/>
        <v>-4012777.1167539461</v>
      </c>
      <c r="AK126" s="38">
        <f t="shared" si="184"/>
        <v>-4046261.3855828526</v>
      </c>
      <c r="AL126" s="38">
        <f t="shared" si="184"/>
        <v>-4079586.9172620405</v>
      </c>
      <c r="AM126" s="38">
        <f t="shared" si="184"/>
        <v>-4112734.9052890986</v>
      </c>
      <c r="AN126" s="38">
        <f t="shared" si="184"/>
        <v>-4145685.8519117553</v>
      </c>
      <c r="AO126" s="38">
        <f t="shared" si="184"/>
        <v>-4178419.5475524347</v>
      </c>
      <c r="AP126" s="38">
        <f t="shared" si="184"/>
        <v>-4210915.049669343</v>
      </c>
      <c r="AQ126" s="38">
        <f t="shared" si="184"/>
        <v>-4243150.6610392509</v>
      </c>
      <c r="AR126" s="38">
        <f t="shared" si="184"/>
        <v>-4275103.9074468166</v>
      </c>
      <c r="AS126" s="38">
        <f t="shared" si="184"/>
        <v>-4306751.5147648081</v>
      </c>
      <c r="AT126" s="38">
        <f t="shared" si="184"/>
        <v>-4338069.385409262</v>
      </c>
      <c r="AU126" s="38">
        <f t="shared" si="184"/>
        <v>0</v>
      </c>
    </row>
    <row r="127" spans="2:47" x14ac:dyDescent="0.35">
      <c r="D127" s="3" t="s">
        <v>56</v>
      </c>
      <c r="E127" s="23"/>
      <c r="F127" s="23"/>
      <c r="G127" s="23"/>
      <c r="H127" s="23"/>
      <c r="I127" s="23" t="s">
        <v>114</v>
      </c>
      <c r="J127" s="82">
        <f ca="1">SUM(K127:AU127)</f>
        <v>182746244.39361215</v>
      </c>
      <c r="K127" s="95">
        <f ca="1">SUM(K121:K126)</f>
        <v>-228568629.83882549</v>
      </c>
      <c r="L127" s="95">
        <f t="shared" ref="L127:AU127" ca="1" si="185">SUM(L121:L126)</f>
        <v>14936229.163531177</v>
      </c>
      <c r="M127" s="95">
        <f t="shared" ca="1" si="185"/>
        <v>14824734.86843998</v>
      </c>
      <c r="N127" s="95">
        <f t="shared" ca="1" si="185"/>
        <v>14711803.180275116</v>
      </c>
      <c r="O127" s="95">
        <f t="shared" ca="1" si="185"/>
        <v>14597375.202520188</v>
      </c>
      <c r="P127" s="95">
        <f t="shared" ca="1" si="185"/>
        <v>14589462.587966301</v>
      </c>
      <c r="Q127" s="95">
        <f t="shared" ca="1" si="185"/>
        <v>14471858.90189231</v>
      </c>
      <c r="R127" s="95">
        <f t="shared" ca="1" si="185"/>
        <v>14352572.468820866</v>
      </c>
      <c r="S127" s="95">
        <f t="shared" ca="1" si="185"/>
        <v>14231537.733445384</v>
      </c>
      <c r="T127" s="95">
        <f t="shared" ca="1" si="185"/>
        <v>14108687.362731151</v>
      </c>
      <c r="U127" s="95">
        <f t="shared" ca="1" si="185"/>
        <v>13983952.198347859</v>
      </c>
      <c r="V127" s="95">
        <f t="shared" ca="1" si="185"/>
        <v>11787928.323808944</v>
      </c>
      <c r="W127" s="95">
        <f t="shared" ca="1" si="185"/>
        <v>11901509.957131051</v>
      </c>
      <c r="X127" s="95">
        <f t="shared" ca="1" si="185"/>
        <v>12015232.494322103</v>
      </c>
      <c r="Y127" s="95">
        <f t="shared" ca="1" si="185"/>
        <v>12129059.248288043</v>
      </c>
      <c r="Z127" s="95">
        <f t="shared" ca="1" si="185"/>
        <v>12242952.015633088</v>
      </c>
      <c r="AA127" s="95">
        <f t="shared" ca="1" si="185"/>
        <v>12356871.029825214</v>
      </c>
      <c r="AB127" s="95">
        <f t="shared" ca="1" si="185"/>
        <v>12470774.913057785</v>
      </c>
      <c r="AC127" s="95">
        <f t="shared" ca="1" si="185"/>
        <v>12584620.626772726</v>
      </c>
      <c r="AD127" s="95">
        <f t="shared" ca="1" si="185"/>
        <v>12698363.420809768</v>
      </c>
      <c r="AE127" s="95">
        <f t="shared" ca="1" si="185"/>
        <v>12438622.130272083</v>
      </c>
      <c r="AF127" s="95">
        <f t="shared" ca="1" si="185"/>
        <v>9047746.6633289568</v>
      </c>
      <c r="AG127" s="95">
        <f t="shared" ca="1" si="185"/>
        <v>9126950.0010948665</v>
      </c>
      <c r="AH127" s="95">
        <f t="shared" ca="1" si="185"/>
        <v>9205943.2664055396</v>
      </c>
      <c r="AI127" s="95">
        <f t="shared" ca="1" si="185"/>
        <v>9284688.5741267037</v>
      </c>
      <c r="AJ127" s="95">
        <f t="shared" ca="1" si="185"/>
        <v>9363146.6057592072</v>
      </c>
      <c r="AK127" s="95">
        <f t="shared" ca="1" si="185"/>
        <v>9441276.5663599893</v>
      </c>
      <c r="AL127" s="95">
        <f t="shared" ca="1" si="185"/>
        <v>9519036.1402780954</v>
      </c>
      <c r="AM127" s="95">
        <f t="shared" ca="1" si="185"/>
        <v>9596381.4456745647</v>
      </c>
      <c r="AN127" s="95">
        <f t="shared" ca="1" si="185"/>
        <v>9673266.9877940957</v>
      </c>
      <c r="AO127" s="95">
        <f t="shared" ca="1" si="185"/>
        <v>9749645.6109556817</v>
      </c>
      <c r="AP127" s="95">
        <f t="shared" ca="1" si="185"/>
        <v>9825468.4492284656</v>
      </c>
      <c r="AQ127" s="95">
        <f t="shared" ca="1" si="185"/>
        <v>9900684.875758253</v>
      </c>
      <c r="AR127" s="95">
        <f t="shared" ca="1" si="185"/>
        <v>9975242.4507092405</v>
      </c>
      <c r="AS127" s="95">
        <f t="shared" ca="1" si="185"/>
        <v>10049086.867784552</v>
      </c>
      <c r="AT127" s="95">
        <f t="shared" ca="1" si="185"/>
        <v>10122161.899288278</v>
      </c>
      <c r="AU127" s="95">
        <f t="shared" ca="1" si="185"/>
        <v>0</v>
      </c>
    </row>
    <row r="129" spans="1:47" x14ac:dyDescent="0.35">
      <c r="A129" s="32" t="s">
        <v>8</v>
      </c>
      <c r="B129" s="32"/>
      <c r="C129" s="90"/>
      <c r="D129" s="33"/>
      <c r="E129" s="49"/>
      <c r="F129" s="49"/>
      <c r="G129" s="49"/>
      <c r="H129" s="49"/>
      <c r="I129" s="49"/>
      <c r="J129" s="49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</row>
    <row r="130" spans="1:47" x14ac:dyDescent="0.35">
      <c r="D130" s="8" t="str">
        <f>D17</f>
        <v>Operating period counter</v>
      </c>
      <c r="K130" s="38">
        <f t="shared" ref="K130:AU130" si="186">K17</f>
        <v>0</v>
      </c>
      <c r="L130" s="38">
        <f t="shared" si="186"/>
        <v>1</v>
      </c>
      <c r="M130" s="38">
        <f t="shared" si="186"/>
        <v>2</v>
      </c>
      <c r="N130" s="38">
        <f t="shared" si="186"/>
        <v>3</v>
      </c>
      <c r="O130" s="38">
        <f t="shared" si="186"/>
        <v>4</v>
      </c>
      <c r="P130" s="38">
        <f t="shared" si="186"/>
        <v>5</v>
      </c>
      <c r="Q130" s="38">
        <f t="shared" si="186"/>
        <v>6</v>
      </c>
      <c r="R130" s="38">
        <f t="shared" si="186"/>
        <v>7</v>
      </c>
      <c r="S130" s="38">
        <f t="shared" si="186"/>
        <v>8</v>
      </c>
      <c r="T130" s="38">
        <f t="shared" si="186"/>
        <v>9</v>
      </c>
      <c r="U130" s="38">
        <f t="shared" si="186"/>
        <v>10</v>
      </c>
      <c r="V130" s="38">
        <f t="shared" si="186"/>
        <v>11</v>
      </c>
      <c r="W130" s="38">
        <f t="shared" si="186"/>
        <v>12</v>
      </c>
      <c r="X130" s="38">
        <f t="shared" si="186"/>
        <v>13</v>
      </c>
      <c r="Y130" s="38">
        <f t="shared" si="186"/>
        <v>14</v>
      </c>
      <c r="Z130" s="38">
        <f t="shared" si="186"/>
        <v>15</v>
      </c>
      <c r="AA130" s="38">
        <f t="shared" si="186"/>
        <v>16</v>
      </c>
      <c r="AB130" s="38">
        <f t="shared" si="186"/>
        <v>17</v>
      </c>
      <c r="AC130" s="38">
        <f t="shared" si="186"/>
        <v>18</v>
      </c>
      <c r="AD130" s="38">
        <f t="shared" si="186"/>
        <v>19</v>
      </c>
      <c r="AE130" s="38">
        <f t="shared" si="186"/>
        <v>20</v>
      </c>
      <c r="AF130" s="38">
        <f t="shared" si="186"/>
        <v>21</v>
      </c>
      <c r="AG130" s="38">
        <f t="shared" si="186"/>
        <v>22</v>
      </c>
      <c r="AH130" s="38">
        <f t="shared" si="186"/>
        <v>23</v>
      </c>
      <c r="AI130" s="38">
        <f t="shared" si="186"/>
        <v>24</v>
      </c>
      <c r="AJ130" s="38">
        <f t="shared" si="186"/>
        <v>25</v>
      </c>
      <c r="AK130" s="38">
        <f t="shared" si="186"/>
        <v>26</v>
      </c>
      <c r="AL130" s="38">
        <f t="shared" si="186"/>
        <v>27</v>
      </c>
      <c r="AM130" s="38">
        <f t="shared" si="186"/>
        <v>28</v>
      </c>
      <c r="AN130" s="38">
        <f t="shared" si="186"/>
        <v>29</v>
      </c>
      <c r="AO130" s="38">
        <f t="shared" si="186"/>
        <v>30</v>
      </c>
      <c r="AP130" s="38">
        <f t="shared" si="186"/>
        <v>31</v>
      </c>
      <c r="AQ130" s="38">
        <f t="shared" si="186"/>
        <v>32</v>
      </c>
      <c r="AR130" s="38">
        <f t="shared" si="186"/>
        <v>33</v>
      </c>
      <c r="AS130" s="38">
        <f t="shared" si="186"/>
        <v>34</v>
      </c>
      <c r="AT130" s="38">
        <f t="shared" si="186"/>
        <v>35</v>
      </c>
      <c r="AU130" s="38">
        <f t="shared" si="186"/>
        <v>35</v>
      </c>
    </row>
    <row r="131" spans="1:47" x14ac:dyDescent="0.35">
      <c r="D131" s="8" t="str">
        <f>D$13</f>
        <v>Construction period flag</v>
      </c>
      <c r="K131" s="38">
        <f>K$13</f>
        <v>1</v>
      </c>
      <c r="L131" s="38">
        <f t="shared" ref="L131:AU131" si="187">L$13</f>
        <v>0</v>
      </c>
      <c r="M131" s="38">
        <f t="shared" si="187"/>
        <v>0</v>
      </c>
      <c r="N131" s="38">
        <f t="shared" si="187"/>
        <v>0</v>
      </c>
      <c r="O131" s="38">
        <f t="shared" si="187"/>
        <v>0</v>
      </c>
      <c r="P131" s="38">
        <f t="shared" si="187"/>
        <v>0</v>
      </c>
      <c r="Q131" s="38">
        <f t="shared" si="187"/>
        <v>0</v>
      </c>
      <c r="R131" s="38">
        <f t="shared" si="187"/>
        <v>0</v>
      </c>
      <c r="S131" s="38">
        <f t="shared" si="187"/>
        <v>0</v>
      </c>
      <c r="T131" s="38">
        <f t="shared" si="187"/>
        <v>0</v>
      </c>
      <c r="U131" s="38">
        <f t="shared" si="187"/>
        <v>0</v>
      </c>
      <c r="V131" s="38">
        <f t="shared" si="187"/>
        <v>0</v>
      </c>
      <c r="W131" s="38">
        <f t="shared" si="187"/>
        <v>0</v>
      </c>
      <c r="X131" s="38">
        <f t="shared" si="187"/>
        <v>0</v>
      </c>
      <c r="Y131" s="38">
        <f t="shared" si="187"/>
        <v>0</v>
      </c>
      <c r="Z131" s="38">
        <f t="shared" si="187"/>
        <v>0</v>
      </c>
      <c r="AA131" s="38">
        <f t="shared" si="187"/>
        <v>0</v>
      </c>
      <c r="AB131" s="38">
        <f t="shared" si="187"/>
        <v>0</v>
      </c>
      <c r="AC131" s="38">
        <f t="shared" si="187"/>
        <v>0</v>
      </c>
      <c r="AD131" s="38">
        <f t="shared" si="187"/>
        <v>0</v>
      </c>
      <c r="AE131" s="38">
        <f t="shared" si="187"/>
        <v>0</v>
      </c>
      <c r="AF131" s="38">
        <f t="shared" si="187"/>
        <v>0</v>
      </c>
      <c r="AG131" s="38">
        <f t="shared" si="187"/>
        <v>0</v>
      </c>
      <c r="AH131" s="38">
        <f t="shared" si="187"/>
        <v>0</v>
      </c>
      <c r="AI131" s="38">
        <f t="shared" si="187"/>
        <v>0</v>
      </c>
      <c r="AJ131" s="38">
        <f t="shared" si="187"/>
        <v>0</v>
      </c>
      <c r="AK131" s="38">
        <f t="shared" si="187"/>
        <v>0</v>
      </c>
      <c r="AL131" s="38">
        <f t="shared" si="187"/>
        <v>0</v>
      </c>
      <c r="AM131" s="38">
        <f t="shared" si="187"/>
        <v>0</v>
      </c>
      <c r="AN131" s="38">
        <f t="shared" si="187"/>
        <v>0</v>
      </c>
      <c r="AO131" s="38">
        <f t="shared" si="187"/>
        <v>0</v>
      </c>
      <c r="AP131" s="38">
        <f t="shared" si="187"/>
        <v>0</v>
      </c>
      <c r="AQ131" s="38">
        <f t="shared" si="187"/>
        <v>0</v>
      </c>
      <c r="AR131" s="38">
        <f t="shared" si="187"/>
        <v>0</v>
      </c>
      <c r="AS131" s="38">
        <f t="shared" si="187"/>
        <v>0</v>
      </c>
      <c r="AT131" s="38">
        <f t="shared" si="187"/>
        <v>0</v>
      </c>
      <c r="AU131" s="38">
        <f t="shared" si="187"/>
        <v>0</v>
      </c>
    </row>
    <row r="132" spans="1:47" x14ac:dyDescent="0.35">
      <c r="A132" s="1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</row>
    <row r="133" spans="1:47" x14ac:dyDescent="0.35">
      <c r="A133" s="1"/>
      <c r="B133" s="1" t="s">
        <v>151</v>
      </c>
    </row>
    <row r="134" spans="1:47" x14ac:dyDescent="0.35">
      <c r="A134" s="1"/>
      <c r="D134" s="8" t="s">
        <v>242</v>
      </c>
      <c r="E134" s="17">
        <f>Input!E58</f>
        <v>5</v>
      </c>
      <c r="G134" s="75">
        <f>G9</f>
        <v>46753</v>
      </c>
      <c r="H134" s="75">
        <f>EOMONTH(G134-1, E134*12)</f>
        <v>48579</v>
      </c>
      <c r="I134" s="16" t="s">
        <v>2</v>
      </c>
      <c r="K134" s="38">
        <f t="shared" ref="K134:AU134" si="188">AND(K$4&gt;=$G134, K$5&lt;=$H134) * 1</f>
        <v>0</v>
      </c>
      <c r="L134" s="38">
        <f t="shared" si="188"/>
        <v>1</v>
      </c>
      <c r="M134" s="38">
        <f t="shared" si="188"/>
        <v>1</v>
      </c>
      <c r="N134" s="38">
        <f t="shared" si="188"/>
        <v>1</v>
      </c>
      <c r="O134" s="38">
        <f t="shared" si="188"/>
        <v>1</v>
      </c>
      <c r="P134" s="38">
        <f t="shared" si="188"/>
        <v>1</v>
      </c>
      <c r="Q134" s="38">
        <f t="shared" si="188"/>
        <v>0</v>
      </c>
      <c r="R134" s="38">
        <f t="shared" si="188"/>
        <v>0</v>
      </c>
      <c r="S134" s="38">
        <f t="shared" si="188"/>
        <v>0</v>
      </c>
      <c r="T134" s="38">
        <f t="shared" si="188"/>
        <v>0</v>
      </c>
      <c r="U134" s="38">
        <f t="shared" si="188"/>
        <v>0</v>
      </c>
      <c r="V134" s="38">
        <f t="shared" si="188"/>
        <v>0</v>
      </c>
      <c r="W134" s="38">
        <f t="shared" si="188"/>
        <v>0</v>
      </c>
      <c r="X134" s="38">
        <f t="shared" si="188"/>
        <v>0</v>
      </c>
      <c r="Y134" s="38">
        <f t="shared" si="188"/>
        <v>0</v>
      </c>
      <c r="Z134" s="38">
        <f t="shared" si="188"/>
        <v>0</v>
      </c>
      <c r="AA134" s="38">
        <f t="shared" si="188"/>
        <v>0</v>
      </c>
      <c r="AB134" s="38">
        <f t="shared" si="188"/>
        <v>0</v>
      </c>
      <c r="AC134" s="38">
        <f t="shared" si="188"/>
        <v>0</v>
      </c>
      <c r="AD134" s="38">
        <f t="shared" si="188"/>
        <v>0</v>
      </c>
      <c r="AE134" s="38">
        <f t="shared" si="188"/>
        <v>0</v>
      </c>
      <c r="AF134" s="38">
        <f t="shared" si="188"/>
        <v>0</v>
      </c>
      <c r="AG134" s="38">
        <f t="shared" si="188"/>
        <v>0</v>
      </c>
      <c r="AH134" s="38">
        <f t="shared" si="188"/>
        <v>0</v>
      </c>
      <c r="AI134" s="38">
        <f t="shared" si="188"/>
        <v>0</v>
      </c>
      <c r="AJ134" s="38">
        <f t="shared" si="188"/>
        <v>0</v>
      </c>
      <c r="AK134" s="38">
        <f t="shared" si="188"/>
        <v>0</v>
      </c>
      <c r="AL134" s="38">
        <f t="shared" si="188"/>
        <v>0</v>
      </c>
      <c r="AM134" s="38">
        <f t="shared" si="188"/>
        <v>0</v>
      </c>
      <c r="AN134" s="38">
        <f t="shared" si="188"/>
        <v>0</v>
      </c>
      <c r="AO134" s="38">
        <f t="shared" si="188"/>
        <v>0</v>
      </c>
      <c r="AP134" s="38">
        <f t="shared" si="188"/>
        <v>0</v>
      </c>
      <c r="AQ134" s="38">
        <f t="shared" si="188"/>
        <v>0</v>
      </c>
      <c r="AR134" s="38">
        <f t="shared" si="188"/>
        <v>0</v>
      </c>
      <c r="AS134" s="38">
        <f t="shared" si="188"/>
        <v>0</v>
      </c>
      <c r="AT134" s="38">
        <f t="shared" si="188"/>
        <v>0</v>
      </c>
      <c r="AU134" s="38">
        <f t="shared" si="188"/>
        <v>0</v>
      </c>
    </row>
    <row r="135" spans="1:47" x14ac:dyDescent="0.35">
      <c r="A135" s="1"/>
      <c r="D135" s="8" t="s">
        <v>180</v>
      </c>
      <c r="E135" s="17"/>
      <c r="G135" s="75"/>
      <c r="H135" s="75"/>
      <c r="K135" s="38">
        <f t="shared" ref="K135:AU135" si="189">(K5=$H134)*1</f>
        <v>0</v>
      </c>
      <c r="L135" s="38">
        <f t="shared" si="189"/>
        <v>0</v>
      </c>
      <c r="M135" s="38">
        <f t="shared" si="189"/>
        <v>0</v>
      </c>
      <c r="N135" s="38">
        <f t="shared" si="189"/>
        <v>0</v>
      </c>
      <c r="O135" s="38">
        <f t="shared" si="189"/>
        <v>0</v>
      </c>
      <c r="P135" s="38">
        <f t="shared" si="189"/>
        <v>1</v>
      </c>
      <c r="Q135" s="38">
        <f t="shared" si="189"/>
        <v>0</v>
      </c>
      <c r="R135" s="38">
        <f t="shared" si="189"/>
        <v>0</v>
      </c>
      <c r="S135" s="38">
        <f t="shared" si="189"/>
        <v>0</v>
      </c>
      <c r="T135" s="38">
        <f t="shared" si="189"/>
        <v>0</v>
      </c>
      <c r="U135" s="38">
        <f t="shared" si="189"/>
        <v>0</v>
      </c>
      <c r="V135" s="38">
        <f t="shared" si="189"/>
        <v>0</v>
      </c>
      <c r="W135" s="38">
        <f t="shared" si="189"/>
        <v>0</v>
      </c>
      <c r="X135" s="38">
        <f t="shared" si="189"/>
        <v>0</v>
      </c>
      <c r="Y135" s="38">
        <f t="shared" si="189"/>
        <v>0</v>
      </c>
      <c r="Z135" s="38">
        <f t="shared" si="189"/>
        <v>0</v>
      </c>
      <c r="AA135" s="38">
        <f t="shared" si="189"/>
        <v>0</v>
      </c>
      <c r="AB135" s="38">
        <f t="shared" si="189"/>
        <v>0</v>
      </c>
      <c r="AC135" s="38">
        <f t="shared" si="189"/>
        <v>0</v>
      </c>
      <c r="AD135" s="38">
        <f t="shared" si="189"/>
        <v>0</v>
      </c>
      <c r="AE135" s="38">
        <f t="shared" si="189"/>
        <v>0</v>
      </c>
      <c r="AF135" s="38">
        <f t="shared" si="189"/>
        <v>0</v>
      </c>
      <c r="AG135" s="38">
        <f t="shared" si="189"/>
        <v>0</v>
      </c>
      <c r="AH135" s="38">
        <f t="shared" si="189"/>
        <v>0</v>
      </c>
      <c r="AI135" s="38">
        <f t="shared" si="189"/>
        <v>0</v>
      </c>
      <c r="AJ135" s="38">
        <f t="shared" si="189"/>
        <v>0</v>
      </c>
      <c r="AK135" s="38">
        <f t="shared" si="189"/>
        <v>0</v>
      </c>
      <c r="AL135" s="38">
        <f t="shared" si="189"/>
        <v>0</v>
      </c>
      <c r="AM135" s="38">
        <f t="shared" si="189"/>
        <v>0</v>
      </c>
      <c r="AN135" s="38">
        <f t="shared" si="189"/>
        <v>0</v>
      </c>
      <c r="AO135" s="38">
        <f t="shared" si="189"/>
        <v>0</v>
      </c>
      <c r="AP135" s="38">
        <f t="shared" si="189"/>
        <v>0</v>
      </c>
      <c r="AQ135" s="38">
        <f t="shared" si="189"/>
        <v>0</v>
      </c>
      <c r="AR135" s="38">
        <f t="shared" si="189"/>
        <v>0</v>
      </c>
      <c r="AS135" s="38">
        <f t="shared" si="189"/>
        <v>0</v>
      </c>
      <c r="AT135" s="38">
        <f t="shared" si="189"/>
        <v>0</v>
      </c>
      <c r="AU135" s="38">
        <f t="shared" si="189"/>
        <v>0</v>
      </c>
    </row>
    <row r="136" spans="1:47" x14ac:dyDescent="0.35">
      <c r="A136" s="1"/>
      <c r="D136" s="8" t="str">
        <f>Input!D59</f>
        <v>Target DSCR</v>
      </c>
      <c r="E136" s="115">
        <f>Input!E59</f>
        <v>1.35</v>
      </c>
    </row>
    <row r="137" spans="1:47" x14ac:dyDescent="0.35">
      <c r="A137" s="1"/>
      <c r="D137" s="8" t="str">
        <f>Input!D60</f>
        <v>Notional repayment profile</v>
      </c>
      <c r="E137" s="17">
        <f>Input!E60</f>
        <v>25</v>
      </c>
      <c r="I137" s="16" t="s">
        <v>2</v>
      </c>
    </row>
    <row r="138" spans="1:47" x14ac:dyDescent="0.35">
      <c r="A138" s="1"/>
      <c r="D138" s="8" t="str">
        <f>Input!D61</f>
        <v>Interest rate</v>
      </c>
      <c r="E138" s="79">
        <f>Input!E61</f>
        <v>6.5000000000000002E-2</v>
      </c>
    </row>
    <row r="139" spans="1:47" x14ac:dyDescent="0.35">
      <c r="A139" s="1"/>
      <c r="D139" s="8" t="s">
        <v>184</v>
      </c>
      <c r="E139" s="79"/>
      <c r="G139" s="75">
        <f>G9</f>
        <v>46753</v>
      </c>
      <c r="H139" s="75">
        <f>EOMONTH(G139-1, E137*12)</f>
        <v>55884</v>
      </c>
      <c r="J139" s="61">
        <f>SUM(K139:AU139)</f>
        <v>25</v>
      </c>
      <c r="K139" s="38">
        <f t="shared" ref="K139:AU139" si="190">AND(K$4&gt;=$G139, K$5&lt;=$H139) * 1</f>
        <v>0</v>
      </c>
      <c r="L139" s="38">
        <f t="shared" si="190"/>
        <v>1</v>
      </c>
      <c r="M139" s="38">
        <f t="shared" si="190"/>
        <v>1</v>
      </c>
      <c r="N139" s="38">
        <f t="shared" si="190"/>
        <v>1</v>
      </c>
      <c r="O139" s="38">
        <f t="shared" si="190"/>
        <v>1</v>
      </c>
      <c r="P139" s="38">
        <f t="shared" si="190"/>
        <v>1</v>
      </c>
      <c r="Q139" s="38">
        <f t="shared" si="190"/>
        <v>1</v>
      </c>
      <c r="R139" s="38">
        <f t="shared" si="190"/>
        <v>1</v>
      </c>
      <c r="S139" s="38">
        <f t="shared" si="190"/>
        <v>1</v>
      </c>
      <c r="T139" s="38">
        <f t="shared" si="190"/>
        <v>1</v>
      </c>
      <c r="U139" s="38">
        <f t="shared" si="190"/>
        <v>1</v>
      </c>
      <c r="V139" s="38">
        <f t="shared" si="190"/>
        <v>1</v>
      </c>
      <c r="W139" s="38">
        <f t="shared" si="190"/>
        <v>1</v>
      </c>
      <c r="X139" s="38">
        <f t="shared" si="190"/>
        <v>1</v>
      </c>
      <c r="Y139" s="38">
        <f t="shared" si="190"/>
        <v>1</v>
      </c>
      <c r="Z139" s="38">
        <f t="shared" si="190"/>
        <v>1</v>
      </c>
      <c r="AA139" s="38">
        <f t="shared" si="190"/>
        <v>1</v>
      </c>
      <c r="AB139" s="38">
        <f t="shared" si="190"/>
        <v>1</v>
      </c>
      <c r="AC139" s="38">
        <f t="shared" si="190"/>
        <v>1</v>
      </c>
      <c r="AD139" s="38">
        <f t="shared" si="190"/>
        <v>1</v>
      </c>
      <c r="AE139" s="38">
        <f t="shared" si="190"/>
        <v>1</v>
      </c>
      <c r="AF139" s="38">
        <f t="shared" si="190"/>
        <v>1</v>
      </c>
      <c r="AG139" s="38">
        <f t="shared" si="190"/>
        <v>1</v>
      </c>
      <c r="AH139" s="38">
        <f t="shared" si="190"/>
        <v>1</v>
      </c>
      <c r="AI139" s="38">
        <f t="shared" si="190"/>
        <v>1</v>
      </c>
      <c r="AJ139" s="38">
        <f t="shared" si="190"/>
        <v>1</v>
      </c>
      <c r="AK139" s="38">
        <f t="shared" si="190"/>
        <v>0</v>
      </c>
      <c r="AL139" s="38">
        <f t="shared" si="190"/>
        <v>0</v>
      </c>
      <c r="AM139" s="38">
        <f t="shared" si="190"/>
        <v>0</v>
      </c>
      <c r="AN139" s="38">
        <f t="shared" si="190"/>
        <v>0</v>
      </c>
      <c r="AO139" s="38">
        <f t="shared" si="190"/>
        <v>0</v>
      </c>
      <c r="AP139" s="38">
        <f t="shared" si="190"/>
        <v>0</v>
      </c>
      <c r="AQ139" s="38">
        <f t="shared" si="190"/>
        <v>0</v>
      </c>
      <c r="AR139" s="38">
        <f t="shared" si="190"/>
        <v>0</v>
      </c>
      <c r="AS139" s="38">
        <f t="shared" si="190"/>
        <v>0</v>
      </c>
      <c r="AT139" s="38">
        <f t="shared" si="190"/>
        <v>0</v>
      </c>
      <c r="AU139" s="38">
        <f t="shared" si="190"/>
        <v>0</v>
      </c>
    </row>
    <row r="140" spans="1:47" x14ac:dyDescent="0.35">
      <c r="A140" s="1"/>
      <c r="E140" s="26"/>
    </row>
    <row r="141" spans="1:47" x14ac:dyDescent="0.35">
      <c r="A141" s="1"/>
      <c r="D141" s="2" t="s">
        <v>169</v>
      </c>
      <c r="E141" s="117">
        <v>131825074.44346899</v>
      </c>
    </row>
    <row r="142" spans="1:47" x14ac:dyDescent="0.35">
      <c r="A142" s="1"/>
      <c r="D142" s="2" t="s">
        <v>165</v>
      </c>
      <c r="E142" s="116"/>
      <c r="K142" s="38">
        <f t="shared" ref="K142:AU142" si="191">-PMT($E138, $E137, $E141) * K139</f>
        <v>0</v>
      </c>
      <c r="L142" s="38">
        <f t="shared" si="191"/>
        <v>10807214.846882159</v>
      </c>
      <c r="M142" s="38">
        <f t="shared" si="191"/>
        <v>10807214.846882159</v>
      </c>
      <c r="N142" s="38">
        <f t="shared" si="191"/>
        <v>10807214.846882159</v>
      </c>
      <c r="O142" s="38">
        <f t="shared" si="191"/>
        <v>10807214.846882159</v>
      </c>
      <c r="P142" s="38">
        <f t="shared" si="191"/>
        <v>10807214.846882159</v>
      </c>
      <c r="Q142" s="38">
        <f t="shared" si="191"/>
        <v>10807214.846882159</v>
      </c>
      <c r="R142" s="38">
        <f t="shared" si="191"/>
        <v>10807214.846882159</v>
      </c>
      <c r="S142" s="38">
        <f t="shared" si="191"/>
        <v>10807214.846882159</v>
      </c>
      <c r="T142" s="38">
        <f t="shared" si="191"/>
        <v>10807214.846882159</v>
      </c>
      <c r="U142" s="38">
        <f t="shared" si="191"/>
        <v>10807214.846882159</v>
      </c>
      <c r="V142" s="38">
        <f t="shared" si="191"/>
        <v>10807214.846882159</v>
      </c>
      <c r="W142" s="38">
        <f t="shared" si="191"/>
        <v>10807214.846882159</v>
      </c>
      <c r="X142" s="38">
        <f t="shared" si="191"/>
        <v>10807214.846882159</v>
      </c>
      <c r="Y142" s="38">
        <f t="shared" si="191"/>
        <v>10807214.846882159</v>
      </c>
      <c r="Z142" s="38">
        <f t="shared" si="191"/>
        <v>10807214.846882159</v>
      </c>
      <c r="AA142" s="38">
        <f t="shared" si="191"/>
        <v>10807214.846882159</v>
      </c>
      <c r="AB142" s="38">
        <f t="shared" si="191"/>
        <v>10807214.846882159</v>
      </c>
      <c r="AC142" s="38">
        <f t="shared" si="191"/>
        <v>10807214.846882159</v>
      </c>
      <c r="AD142" s="38">
        <f t="shared" si="191"/>
        <v>10807214.846882159</v>
      </c>
      <c r="AE142" s="38">
        <f t="shared" si="191"/>
        <v>10807214.846882159</v>
      </c>
      <c r="AF142" s="38">
        <f t="shared" si="191"/>
        <v>10807214.846882159</v>
      </c>
      <c r="AG142" s="38">
        <f t="shared" si="191"/>
        <v>10807214.846882159</v>
      </c>
      <c r="AH142" s="38">
        <f t="shared" si="191"/>
        <v>10807214.846882159</v>
      </c>
      <c r="AI142" s="38">
        <f t="shared" si="191"/>
        <v>10807214.846882159</v>
      </c>
      <c r="AJ142" s="38">
        <f t="shared" si="191"/>
        <v>10807214.846882159</v>
      </c>
      <c r="AK142" s="38">
        <f t="shared" si="191"/>
        <v>0</v>
      </c>
      <c r="AL142" s="38">
        <f t="shared" si="191"/>
        <v>0</v>
      </c>
      <c r="AM142" s="38">
        <f t="shared" si="191"/>
        <v>0</v>
      </c>
      <c r="AN142" s="38">
        <f t="shared" si="191"/>
        <v>0</v>
      </c>
      <c r="AO142" s="38">
        <f t="shared" si="191"/>
        <v>0</v>
      </c>
      <c r="AP142" s="38">
        <f t="shared" si="191"/>
        <v>0</v>
      </c>
      <c r="AQ142" s="38">
        <f t="shared" si="191"/>
        <v>0</v>
      </c>
      <c r="AR142" s="38">
        <f t="shared" si="191"/>
        <v>0</v>
      </c>
      <c r="AS142" s="38">
        <f t="shared" si="191"/>
        <v>0</v>
      </c>
      <c r="AT142" s="38">
        <f t="shared" si="191"/>
        <v>0</v>
      </c>
      <c r="AU142" s="38">
        <f t="shared" si="191"/>
        <v>0</v>
      </c>
    </row>
    <row r="143" spans="1:47" x14ac:dyDescent="0.35">
      <c r="A143" s="1"/>
      <c r="D143" s="8" t="str">
        <f>D127</f>
        <v>Cash flow available for debt service</v>
      </c>
      <c r="E143" s="116"/>
      <c r="K143" s="38">
        <f t="shared" ref="K143:AU143" ca="1" si="192">K127</f>
        <v>-228568629.83882549</v>
      </c>
      <c r="L143" s="38">
        <f t="shared" ca="1" si="192"/>
        <v>14936229.163531177</v>
      </c>
      <c r="M143" s="38">
        <f t="shared" ca="1" si="192"/>
        <v>14824734.86843998</v>
      </c>
      <c r="N143" s="38">
        <f t="shared" ca="1" si="192"/>
        <v>14711803.180275116</v>
      </c>
      <c r="O143" s="38">
        <f t="shared" ca="1" si="192"/>
        <v>14597375.202520188</v>
      </c>
      <c r="P143" s="38">
        <f t="shared" ca="1" si="192"/>
        <v>14589462.587966301</v>
      </c>
      <c r="Q143" s="38">
        <f t="shared" ca="1" si="192"/>
        <v>14471858.90189231</v>
      </c>
      <c r="R143" s="38">
        <f t="shared" ca="1" si="192"/>
        <v>14352572.468820866</v>
      </c>
      <c r="S143" s="38">
        <f t="shared" ca="1" si="192"/>
        <v>14231537.733445384</v>
      </c>
      <c r="T143" s="38">
        <f t="shared" ca="1" si="192"/>
        <v>14108687.362731151</v>
      </c>
      <c r="U143" s="38">
        <f t="shared" ca="1" si="192"/>
        <v>13983952.198347859</v>
      </c>
      <c r="V143" s="38">
        <f t="shared" ca="1" si="192"/>
        <v>11787928.323808944</v>
      </c>
      <c r="W143" s="38">
        <f t="shared" ca="1" si="192"/>
        <v>11901509.957131051</v>
      </c>
      <c r="X143" s="38">
        <f t="shared" ca="1" si="192"/>
        <v>12015232.494322103</v>
      </c>
      <c r="Y143" s="38">
        <f t="shared" ca="1" si="192"/>
        <v>12129059.248288043</v>
      </c>
      <c r="Z143" s="38">
        <f t="shared" ca="1" si="192"/>
        <v>12242952.015633088</v>
      </c>
      <c r="AA143" s="38">
        <f t="shared" ca="1" si="192"/>
        <v>12356871.029825214</v>
      </c>
      <c r="AB143" s="38">
        <f t="shared" ca="1" si="192"/>
        <v>12470774.913057785</v>
      </c>
      <c r="AC143" s="38">
        <f t="shared" ca="1" si="192"/>
        <v>12584620.626772726</v>
      </c>
      <c r="AD143" s="38">
        <f t="shared" ca="1" si="192"/>
        <v>12698363.420809768</v>
      </c>
      <c r="AE143" s="38">
        <f t="shared" ca="1" si="192"/>
        <v>12438622.130272083</v>
      </c>
      <c r="AF143" s="38">
        <f t="shared" ca="1" si="192"/>
        <v>9047746.6633289568</v>
      </c>
      <c r="AG143" s="38">
        <f t="shared" ca="1" si="192"/>
        <v>9126950.0010948665</v>
      </c>
      <c r="AH143" s="38">
        <f t="shared" ca="1" si="192"/>
        <v>9205943.2664055396</v>
      </c>
      <c r="AI143" s="38">
        <f t="shared" ca="1" si="192"/>
        <v>9284688.5741267037</v>
      </c>
      <c r="AJ143" s="38">
        <f t="shared" ca="1" si="192"/>
        <v>9363146.6057592072</v>
      </c>
      <c r="AK143" s="38">
        <f t="shared" ca="1" si="192"/>
        <v>9441276.5663599893</v>
      </c>
      <c r="AL143" s="38">
        <f t="shared" ca="1" si="192"/>
        <v>9519036.1402780954</v>
      </c>
      <c r="AM143" s="38">
        <f t="shared" ca="1" si="192"/>
        <v>9596381.4456745647</v>
      </c>
      <c r="AN143" s="38">
        <f t="shared" ca="1" si="192"/>
        <v>9673266.9877940957</v>
      </c>
      <c r="AO143" s="38">
        <f t="shared" ca="1" si="192"/>
        <v>9749645.6109556817</v>
      </c>
      <c r="AP143" s="38">
        <f t="shared" ca="1" si="192"/>
        <v>9825468.4492284656</v>
      </c>
      <c r="AQ143" s="38">
        <f t="shared" ca="1" si="192"/>
        <v>9900684.875758253</v>
      </c>
      <c r="AR143" s="38">
        <f t="shared" ca="1" si="192"/>
        <v>9975242.4507092405</v>
      </c>
      <c r="AS143" s="38">
        <f t="shared" ca="1" si="192"/>
        <v>10049086.867784552</v>
      </c>
      <c r="AT143" s="38">
        <f t="shared" ca="1" si="192"/>
        <v>10122161.899288278</v>
      </c>
      <c r="AU143" s="38">
        <f t="shared" ca="1" si="192"/>
        <v>0</v>
      </c>
    </row>
    <row r="144" spans="1:47" x14ac:dyDescent="0.35">
      <c r="A144" s="1"/>
      <c r="D144" s="2" t="s">
        <v>63</v>
      </c>
      <c r="E144" s="116"/>
      <c r="K144" s="118">
        <f ca="1">IFERROR(K143/K142,0)</f>
        <v>0</v>
      </c>
      <c r="L144" s="118">
        <f t="shared" ref="L144:AU144" ca="1" si="193">IFERROR(L143/L142,0)</f>
        <v>1.3820609079350563</v>
      </c>
      <c r="M144" s="118">
        <f t="shared" ca="1" si="193"/>
        <v>1.3717442540449596</v>
      </c>
      <c r="N144" s="118">
        <f t="shared" ca="1" si="193"/>
        <v>1.3612945970551715</v>
      </c>
      <c r="O144" s="118">
        <f t="shared" ca="1" si="193"/>
        <v>1.3507064872251962</v>
      </c>
      <c r="P144" s="118">
        <f t="shared" ca="1" si="193"/>
        <v>1.3499743268428965</v>
      </c>
      <c r="Q144" s="118">
        <f t="shared" ca="1" si="193"/>
        <v>1.3390923662508094</v>
      </c>
      <c r="R144" s="118">
        <f t="shared" ca="1" si="193"/>
        <v>1.3280546997695275</v>
      </c>
      <c r="S144" s="118">
        <f t="shared" ca="1" si="193"/>
        <v>1.3168552615155171</v>
      </c>
      <c r="T144" s="118">
        <f t="shared" ca="1" si="193"/>
        <v>1.3054878211106773</v>
      </c>
      <c r="U144" s="118">
        <f t="shared" ca="1" si="193"/>
        <v>1.2939459792808854</v>
      </c>
      <c r="V144" s="118">
        <f t="shared" ca="1" si="193"/>
        <v>1.0907461812152015</v>
      </c>
      <c r="W144" s="118">
        <f t="shared" ca="1" si="193"/>
        <v>1.1012559781361793</v>
      </c>
      <c r="X144" s="118">
        <f t="shared" ca="1" si="193"/>
        <v>1.1117788130018025</v>
      </c>
      <c r="Y144" s="118">
        <f t="shared" ca="1" si="193"/>
        <v>1.1223112911267079</v>
      </c>
      <c r="Z144" s="118">
        <f t="shared" ca="1" si="193"/>
        <v>1.1328498775209539</v>
      </c>
      <c r="AA144" s="118">
        <f t="shared" ca="1" si="193"/>
        <v>1.1433908925563856</v>
      </c>
      <c r="AB144" s="118">
        <f t="shared" ca="1" si="193"/>
        <v>1.1539305075123547</v>
      </c>
      <c r="AC144" s="118">
        <f t="shared" ca="1" si="193"/>
        <v>1.1644647399975898</v>
      </c>
      <c r="AD144" s="118">
        <f t="shared" ca="1" si="193"/>
        <v>1.1749894492449364</v>
      </c>
      <c r="AE144" s="118">
        <f t="shared" ca="1" si="193"/>
        <v>1.1509553854997692</v>
      </c>
      <c r="AF144" s="118">
        <f t="shared" ca="1" si="193"/>
        <v>0.83719503975061604</v>
      </c>
      <c r="AG144" s="118">
        <f t="shared" ca="1" si="193"/>
        <v>0.84452378623045121</v>
      </c>
      <c r="AH144" s="118">
        <f t="shared" ca="1" si="193"/>
        <v>0.85183309454252409</v>
      </c>
      <c r="AI144" s="118">
        <f t="shared" ca="1" si="193"/>
        <v>0.85911945914587806</v>
      </c>
      <c r="AJ144" s="118">
        <f t="shared" ca="1" si="193"/>
        <v>0.86637924186918891</v>
      </c>
      <c r="AK144" s="118">
        <f t="shared" ca="1" si="193"/>
        <v>0</v>
      </c>
      <c r="AL144" s="118">
        <f t="shared" ca="1" si="193"/>
        <v>0</v>
      </c>
      <c r="AM144" s="118">
        <f t="shared" ca="1" si="193"/>
        <v>0</v>
      </c>
      <c r="AN144" s="118">
        <f t="shared" ca="1" si="193"/>
        <v>0</v>
      </c>
      <c r="AO144" s="118">
        <f t="shared" ca="1" si="193"/>
        <v>0</v>
      </c>
      <c r="AP144" s="118">
        <f t="shared" ca="1" si="193"/>
        <v>0</v>
      </c>
      <c r="AQ144" s="118">
        <f t="shared" ca="1" si="193"/>
        <v>0</v>
      </c>
      <c r="AR144" s="118">
        <f t="shared" ca="1" si="193"/>
        <v>0</v>
      </c>
      <c r="AS144" s="118">
        <f t="shared" ca="1" si="193"/>
        <v>0</v>
      </c>
      <c r="AT144" s="118">
        <f t="shared" ca="1" si="193"/>
        <v>0</v>
      </c>
      <c r="AU144" s="118">
        <f t="shared" ca="1" si="193"/>
        <v>0</v>
      </c>
    </row>
    <row r="145" spans="1:47" x14ac:dyDescent="0.35">
      <c r="A145" s="1"/>
      <c r="D145" s="2" t="s">
        <v>168</v>
      </c>
      <c r="E145" s="72"/>
      <c r="F145" s="24"/>
      <c r="K145" s="118">
        <f ca="1">K144*K134</f>
        <v>0</v>
      </c>
      <c r="L145" s="118">
        <f t="shared" ref="L145:AU145" ca="1" si="194">L144*L134</f>
        <v>1.3820609079350563</v>
      </c>
      <c r="M145" s="118">
        <f t="shared" ca="1" si="194"/>
        <v>1.3717442540449596</v>
      </c>
      <c r="N145" s="118">
        <f t="shared" ca="1" si="194"/>
        <v>1.3612945970551715</v>
      </c>
      <c r="O145" s="118">
        <f t="shared" ca="1" si="194"/>
        <v>1.3507064872251962</v>
      </c>
      <c r="P145" s="118">
        <f t="shared" ca="1" si="194"/>
        <v>1.3499743268428965</v>
      </c>
      <c r="Q145" s="118">
        <f t="shared" ca="1" si="194"/>
        <v>0</v>
      </c>
      <c r="R145" s="118">
        <f t="shared" ca="1" si="194"/>
        <v>0</v>
      </c>
      <c r="S145" s="118">
        <f t="shared" ca="1" si="194"/>
        <v>0</v>
      </c>
      <c r="T145" s="118">
        <f t="shared" ca="1" si="194"/>
        <v>0</v>
      </c>
      <c r="U145" s="118">
        <f t="shared" ca="1" si="194"/>
        <v>0</v>
      </c>
      <c r="V145" s="118">
        <f t="shared" ca="1" si="194"/>
        <v>0</v>
      </c>
      <c r="W145" s="118">
        <f t="shared" ca="1" si="194"/>
        <v>0</v>
      </c>
      <c r="X145" s="118">
        <f t="shared" ca="1" si="194"/>
        <v>0</v>
      </c>
      <c r="Y145" s="118">
        <f t="shared" ca="1" si="194"/>
        <v>0</v>
      </c>
      <c r="Z145" s="118">
        <f t="shared" ca="1" si="194"/>
        <v>0</v>
      </c>
      <c r="AA145" s="118">
        <f t="shared" ca="1" si="194"/>
        <v>0</v>
      </c>
      <c r="AB145" s="118">
        <f t="shared" ca="1" si="194"/>
        <v>0</v>
      </c>
      <c r="AC145" s="118">
        <f t="shared" ca="1" si="194"/>
        <v>0</v>
      </c>
      <c r="AD145" s="118">
        <f t="shared" ca="1" si="194"/>
        <v>0</v>
      </c>
      <c r="AE145" s="118">
        <f t="shared" ca="1" si="194"/>
        <v>0</v>
      </c>
      <c r="AF145" s="118">
        <f t="shared" ca="1" si="194"/>
        <v>0</v>
      </c>
      <c r="AG145" s="118">
        <f t="shared" ca="1" si="194"/>
        <v>0</v>
      </c>
      <c r="AH145" s="118">
        <f t="shared" ca="1" si="194"/>
        <v>0</v>
      </c>
      <c r="AI145" s="118">
        <f t="shared" ca="1" si="194"/>
        <v>0</v>
      </c>
      <c r="AJ145" s="118">
        <f t="shared" ca="1" si="194"/>
        <v>0</v>
      </c>
      <c r="AK145" s="118">
        <f t="shared" ca="1" si="194"/>
        <v>0</v>
      </c>
      <c r="AL145" s="118">
        <f t="shared" ca="1" si="194"/>
        <v>0</v>
      </c>
      <c r="AM145" s="118">
        <f t="shared" ca="1" si="194"/>
        <v>0</v>
      </c>
      <c r="AN145" s="118">
        <f t="shared" ca="1" si="194"/>
        <v>0</v>
      </c>
      <c r="AO145" s="118">
        <f t="shared" ca="1" si="194"/>
        <v>0</v>
      </c>
      <c r="AP145" s="118">
        <f t="shared" ca="1" si="194"/>
        <v>0</v>
      </c>
      <c r="AQ145" s="118">
        <f t="shared" ca="1" si="194"/>
        <v>0</v>
      </c>
      <c r="AR145" s="118">
        <f t="shared" ca="1" si="194"/>
        <v>0</v>
      </c>
      <c r="AS145" s="118">
        <f t="shared" ca="1" si="194"/>
        <v>0</v>
      </c>
      <c r="AT145" s="118">
        <f t="shared" ca="1" si="194"/>
        <v>0</v>
      </c>
      <c r="AU145" s="118">
        <f t="shared" ca="1" si="194"/>
        <v>0</v>
      </c>
    </row>
    <row r="146" spans="1:47" x14ac:dyDescent="0.35">
      <c r="A146" s="1"/>
      <c r="D146" s="39" t="s">
        <v>166</v>
      </c>
      <c r="E146" s="164" cm="1">
        <f t="array" aca="1" ref="E146" ca="1">MIN(IF(K145:AU145&lt;&gt;0, K145:AU145))</f>
        <v>1.3499743268428965</v>
      </c>
      <c r="F146" s="63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</row>
    <row r="148" spans="1:47" x14ac:dyDescent="0.35">
      <c r="A148" s="1"/>
      <c r="C148" s="5" t="s">
        <v>80</v>
      </c>
    </row>
    <row r="149" spans="1:47" x14ac:dyDescent="0.35">
      <c r="A149" s="1"/>
      <c r="D149" s="8" t="str">
        <f>D217</f>
        <v>Cash available for prepayment</v>
      </c>
      <c r="I149" s="16" t="s">
        <v>114</v>
      </c>
      <c r="K149" s="38">
        <f>K217</f>
        <v>0</v>
      </c>
      <c r="L149" s="38">
        <f t="shared" ref="L149:AU149" si="195">L217</f>
        <v>4237086.4651178401</v>
      </c>
      <c r="M149" s="38">
        <f t="shared" si="195"/>
        <v>4125592.1700266432</v>
      </c>
      <c r="N149" s="38">
        <f t="shared" si="195"/>
        <v>4012660.4818617785</v>
      </c>
      <c r="O149" s="38">
        <f t="shared" si="195"/>
        <v>3898232.5041068513</v>
      </c>
      <c r="P149" s="38">
        <f t="shared" si="195"/>
        <v>3782247.7410841417</v>
      </c>
      <c r="Q149" s="38">
        <f t="shared" si="195"/>
        <v>-81688014.342538416</v>
      </c>
      <c r="R149" s="38">
        <f t="shared" si="195"/>
        <v>-67335441.873717546</v>
      </c>
      <c r="S149" s="38">
        <f t="shared" si="195"/>
        <v>-53103904.140272163</v>
      </c>
      <c r="T149" s="38">
        <f t="shared" si="195"/>
        <v>-38995216.777541012</v>
      </c>
      <c r="U149" s="38">
        <f t="shared" si="195"/>
        <v>-25011264.579193152</v>
      </c>
      <c r="V149" s="38">
        <f t="shared" si="195"/>
        <v>-13223336.255384209</v>
      </c>
      <c r="W149" s="38">
        <f t="shared" si="195"/>
        <v>-1321826.2982531581</v>
      </c>
      <c r="X149" s="38">
        <f t="shared" si="195"/>
        <v>10693406.196068944</v>
      </c>
      <c r="Y149" s="38">
        <f t="shared" si="195"/>
        <v>12129059.248288043</v>
      </c>
      <c r="Z149" s="38">
        <f t="shared" si="195"/>
        <v>12242952.015633088</v>
      </c>
      <c r="AA149" s="38">
        <f t="shared" si="195"/>
        <v>12356871.029825214</v>
      </c>
      <c r="AB149" s="38">
        <f t="shared" si="195"/>
        <v>12470774.913057785</v>
      </c>
      <c r="AC149" s="38">
        <f t="shared" si="195"/>
        <v>12584620.626772726</v>
      </c>
      <c r="AD149" s="38">
        <f t="shared" si="195"/>
        <v>12698363.420809768</v>
      </c>
      <c r="AE149" s="38">
        <f t="shared" si="195"/>
        <v>12438622.130272083</v>
      </c>
      <c r="AF149" s="38">
        <f t="shared" si="195"/>
        <v>9047746.6633289568</v>
      </c>
      <c r="AG149" s="38">
        <f t="shared" si="195"/>
        <v>9126950.0010948665</v>
      </c>
      <c r="AH149" s="38">
        <f t="shared" si="195"/>
        <v>9205943.2664055396</v>
      </c>
      <c r="AI149" s="38">
        <f t="shared" si="195"/>
        <v>9284688.5741267037</v>
      </c>
      <c r="AJ149" s="38">
        <f t="shared" si="195"/>
        <v>9363146.6057592072</v>
      </c>
      <c r="AK149" s="38">
        <f t="shared" si="195"/>
        <v>9441276.5663599893</v>
      </c>
      <c r="AL149" s="38">
        <f t="shared" si="195"/>
        <v>9519036.1402780954</v>
      </c>
      <c r="AM149" s="38">
        <f t="shared" si="195"/>
        <v>9596381.4456745647</v>
      </c>
      <c r="AN149" s="38">
        <f t="shared" si="195"/>
        <v>9673266.9877940957</v>
      </c>
      <c r="AO149" s="38">
        <f t="shared" si="195"/>
        <v>9749645.6109556817</v>
      </c>
      <c r="AP149" s="38">
        <f t="shared" si="195"/>
        <v>9825468.4492284656</v>
      </c>
      <c r="AQ149" s="38">
        <f t="shared" si="195"/>
        <v>9900684.875758253</v>
      </c>
      <c r="AR149" s="38">
        <f t="shared" si="195"/>
        <v>9975242.4507092405</v>
      </c>
      <c r="AS149" s="38">
        <f t="shared" si="195"/>
        <v>10049086.867784552</v>
      </c>
      <c r="AT149" s="38">
        <f t="shared" si="195"/>
        <v>10122161.899288278</v>
      </c>
      <c r="AU149" s="38">
        <f t="shared" si="195"/>
        <v>0</v>
      </c>
    </row>
    <row r="150" spans="1:47" x14ac:dyDescent="0.35">
      <c r="A150" s="1"/>
    </row>
    <row r="151" spans="1:47" x14ac:dyDescent="0.35">
      <c r="A151" s="1"/>
      <c r="D151" s="2" t="s">
        <v>12</v>
      </c>
      <c r="I151" s="16" t="s">
        <v>114</v>
      </c>
      <c r="K151" s="80">
        <v>0</v>
      </c>
      <c r="L151" s="38">
        <f>K156</f>
        <v>131825074.44346899</v>
      </c>
      <c r="M151" s="38">
        <f t="shared" ref="M151:AU151" si="196">L156</f>
        <v>125349402.97029448</v>
      </c>
      <c r="N151" s="38">
        <f t="shared" si="196"/>
        <v>118564307.14645481</v>
      </c>
      <c r="O151" s="38">
        <f t="shared" si="196"/>
        <v>111451111.78223044</v>
      </c>
      <c r="P151" s="38">
        <f t="shared" si="196"/>
        <v>103989986.69708641</v>
      </c>
      <c r="Q151" s="38">
        <f t="shared" si="196"/>
        <v>0</v>
      </c>
      <c r="R151" s="38">
        <f t="shared" si="196"/>
        <v>0</v>
      </c>
      <c r="S151" s="38">
        <f t="shared" si="196"/>
        <v>0</v>
      </c>
      <c r="T151" s="38">
        <f t="shared" si="196"/>
        <v>0</v>
      </c>
      <c r="U151" s="38">
        <f t="shared" si="196"/>
        <v>0</v>
      </c>
      <c r="V151" s="38">
        <f t="shared" si="196"/>
        <v>0</v>
      </c>
      <c r="W151" s="38">
        <f t="shared" si="196"/>
        <v>0</v>
      </c>
      <c r="X151" s="38">
        <f t="shared" si="196"/>
        <v>0</v>
      </c>
      <c r="Y151" s="38">
        <f t="shared" si="196"/>
        <v>0</v>
      </c>
      <c r="Z151" s="38">
        <f t="shared" si="196"/>
        <v>0</v>
      </c>
      <c r="AA151" s="38">
        <f t="shared" si="196"/>
        <v>0</v>
      </c>
      <c r="AB151" s="38">
        <f t="shared" si="196"/>
        <v>0</v>
      </c>
      <c r="AC151" s="38">
        <f t="shared" si="196"/>
        <v>0</v>
      </c>
      <c r="AD151" s="38">
        <f t="shared" si="196"/>
        <v>0</v>
      </c>
      <c r="AE151" s="38">
        <f t="shared" si="196"/>
        <v>0</v>
      </c>
      <c r="AF151" s="38">
        <f t="shared" si="196"/>
        <v>0</v>
      </c>
      <c r="AG151" s="38">
        <f t="shared" si="196"/>
        <v>0</v>
      </c>
      <c r="AH151" s="38">
        <f t="shared" si="196"/>
        <v>0</v>
      </c>
      <c r="AI151" s="38">
        <f t="shared" si="196"/>
        <v>0</v>
      </c>
      <c r="AJ151" s="38">
        <f t="shared" si="196"/>
        <v>0</v>
      </c>
      <c r="AK151" s="38">
        <f t="shared" si="196"/>
        <v>0</v>
      </c>
      <c r="AL151" s="38">
        <f t="shared" si="196"/>
        <v>0</v>
      </c>
      <c r="AM151" s="38">
        <f t="shared" si="196"/>
        <v>0</v>
      </c>
      <c r="AN151" s="38">
        <f t="shared" si="196"/>
        <v>0</v>
      </c>
      <c r="AO151" s="38">
        <f t="shared" si="196"/>
        <v>0</v>
      </c>
      <c r="AP151" s="38">
        <f t="shared" si="196"/>
        <v>0</v>
      </c>
      <c r="AQ151" s="38">
        <f t="shared" si="196"/>
        <v>0</v>
      </c>
      <c r="AR151" s="38">
        <f t="shared" si="196"/>
        <v>0</v>
      </c>
      <c r="AS151" s="38">
        <f t="shared" si="196"/>
        <v>0</v>
      </c>
      <c r="AT151" s="38">
        <f t="shared" si="196"/>
        <v>0</v>
      </c>
      <c r="AU151" s="38">
        <f t="shared" si="196"/>
        <v>0</v>
      </c>
    </row>
    <row r="152" spans="1:47" x14ac:dyDescent="0.35">
      <c r="A152" s="1"/>
      <c r="D152" s="2" t="s">
        <v>57</v>
      </c>
      <c r="E152" s="61">
        <f>E141</f>
        <v>131825074.44346899</v>
      </c>
      <c r="I152" s="16" t="s">
        <v>114</v>
      </c>
      <c r="K152" s="38">
        <f t="shared" ref="K152:AU152" si="197">$E152*K131</f>
        <v>131825074.44346899</v>
      </c>
      <c r="L152" s="38">
        <f t="shared" si="197"/>
        <v>0</v>
      </c>
      <c r="M152" s="38">
        <f t="shared" si="197"/>
        <v>0</v>
      </c>
      <c r="N152" s="38">
        <f t="shared" si="197"/>
        <v>0</v>
      </c>
      <c r="O152" s="38">
        <f t="shared" si="197"/>
        <v>0</v>
      </c>
      <c r="P152" s="38">
        <f t="shared" si="197"/>
        <v>0</v>
      </c>
      <c r="Q152" s="38">
        <f t="shared" si="197"/>
        <v>0</v>
      </c>
      <c r="R152" s="38">
        <f t="shared" si="197"/>
        <v>0</v>
      </c>
      <c r="S152" s="38">
        <f t="shared" si="197"/>
        <v>0</v>
      </c>
      <c r="T152" s="38">
        <f t="shared" si="197"/>
        <v>0</v>
      </c>
      <c r="U152" s="38">
        <f t="shared" si="197"/>
        <v>0</v>
      </c>
      <c r="V152" s="38">
        <f t="shared" si="197"/>
        <v>0</v>
      </c>
      <c r="W152" s="38">
        <f t="shared" si="197"/>
        <v>0</v>
      </c>
      <c r="X152" s="38">
        <f t="shared" si="197"/>
        <v>0</v>
      </c>
      <c r="Y152" s="38">
        <f t="shared" si="197"/>
        <v>0</v>
      </c>
      <c r="Z152" s="38">
        <f t="shared" si="197"/>
        <v>0</v>
      </c>
      <c r="AA152" s="38">
        <f t="shared" si="197"/>
        <v>0</v>
      </c>
      <c r="AB152" s="38">
        <f t="shared" si="197"/>
        <v>0</v>
      </c>
      <c r="AC152" s="38">
        <f t="shared" si="197"/>
        <v>0</v>
      </c>
      <c r="AD152" s="38">
        <f t="shared" si="197"/>
        <v>0</v>
      </c>
      <c r="AE152" s="38">
        <f t="shared" si="197"/>
        <v>0</v>
      </c>
      <c r="AF152" s="38">
        <f t="shared" si="197"/>
        <v>0</v>
      </c>
      <c r="AG152" s="38">
        <f t="shared" si="197"/>
        <v>0</v>
      </c>
      <c r="AH152" s="38">
        <f t="shared" si="197"/>
        <v>0</v>
      </c>
      <c r="AI152" s="38">
        <f t="shared" si="197"/>
        <v>0</v>
      </c>
      <c r="AJ152" s="38">
        <f t="shared" si="197"/>
        <v>0</v>
      </c>
      <c r="AK152" s="38">
        <f t="shared" si="197"/>
        <v>0</v>
      </c>
      <c r="AL152" s="38">
        <f t="shared" si="197"/>
        <v>0</v>
      </c>
      <c r="AM152" s="38">
        <f t="shared" si="197"/>
        <v>0</v>
      </c>
      <c r="AN152" s="38">
        <f t="shared" si="197"/>
        <v>0</v>
      </c>
      <c r="AO152" s="38">
        <f t="shared" si="197"/>
        <v>0</v>
      </c>
      <c r="AP152" s="38">
        <f t="shared" si="197"/>
        <v>0</v>
      </c>
      <c r="AQ152" s="38">
        <f t="shared" si="197"/>
        <v>0</v>
      </c>
      <c r="AR152" s="38">
        <f t="shared" si="197"/>
        <v>0</v>
      </c>
      <c r="AS152" s="38">
        <f t="shared" si="197"/>
        <v>0</v>
      </c>
      <c r="AT152" s="38">
        <f t="shared" si="197"/>
        <v>0</v>
      </c>
      <c r="AU152" s="38">
        <f t="shared" si="197"/>
        <v>0</v>
      </c>
    </row>
    <row r="153" spans="1:47" x14ac:dyDescent="0.35">
      <c r="A153" s="1"/>
      <c r="D153" s="2" t="s">
        <v>58</v>
      </c>
      <c r="G153" s="75">
        <f>G9</f>
        <v>46753</v>
      </c>
      <c r="I153" s="16" t="s">
        <v>114</v>
      </c>
      <c r="K153" s="38">
        <f t="shared" ref="K153:AU153" si="198">-MIN(K142-K160, SUM(K151:K152))*K139</f>
        <v>0</v>
      </c>
      <c r="L153" s="38">
        <f t="shared" si="198"/>
        <v>-2238585.0080566742</v>
      </c>
      <c r="M153" s="38">
        <f t="shared" si="198"/>
        <v>-2659503.6538130175</v>
      </c>
      <c r="N153" s="38">
        <f t="shared" si="198"/>
        <v>-3100534.8823625958</v>
      </c>
      <c r="O153" s="38">
        <f t="shared" si="198"/>
        <v>-3562892.5810371805</v>
      </c>
      <c r="P153" s="38">
        <f t="shared" si="198"/>
        <v>-4047865.7115715425</v>
      </c>
      <c r="Q153" s="38">
        <f t="shared" si="198"/>
        <v>0</v>
      </c>
      <c r="R153" s="38">
        <f t="shared" si="198"/>
        <v>0</v>
      </c>
      <c r="S153" s="38">
        <f t="shared" si="198"/>
        <v>0</v>
      </c>
      <c r="T153" s="38">
        <f t="shared" si="198"/>
        <v>0</v>
      </c>
      <c r="U153" s="38">
        <f t="shared" si="198"/>
        <v>0</v>
      </c>
      <c r="V153" s="38">
        <f t="shared" si="198"/>
        <v>0</v>
      </c>
      <c r="W153" s="38">
        <f t="shared" si="198"/>
        <v>0</v>
      </c>
      <c r="X153" s="38">
        <f t="shared" si="198"/>
        <v>0</v>
      </c>
      <c r="Y153" s="38">
        <f t="shared" si="198"/>
        <v>0</v>
      </c>
      <c r="Z153" s="38">
        <f t="shared" si="198"/>
        <v>0</v>
      </c>
      <c r="AA153" s="38">
        <f t="shared" si="198"/>
        <v>0</v>
      </c>
      <c r="AB153" s="38">
        <f t="shared" si="198"/>
        <v>0</v>
      </c>
      <c r="AC153" s="38">
        <f t="shared" si="198"/>
        <v>0</v>
      </c>
      <c r="AD153" s="38">
        <f t="shared" si="198"/>
        <v>0</v>
      </c>
      <c r="AE153" s="38">
        <f t="shared" si="198"/>
        <v>0</v>
      </c>
      <c r="AF153" s="38">
        <f t="shared" si="198"/>
        <v>0</v>
      </c>
      <c r="AG153" s="38">
        <f t="shared" si="198"/>
        <v>0</v>
      </c>
      <c r="AH153" s="38">
        <f t="shared" si="198"/>
        <v>0</v>
      </c>
      <c r="AI153" s="38">
        <f t="shared" si="198"/>
        <v>0</v>
      </c>
      <c r="AJ153" s="38">
        <f t="shared" si="198"/>
        <v>0</v>
      </c>
      <c r="AK153" s="38">
        <f t="shared" si="198"/>
        <v>0</v>
      </c>
      <c r="AL153" s="38">
        <f t="shared" si="198"/>
        <v>0</v>
      </c>
      <c r="AM153" s="38">
        <f t="shared" si="198"/>
        <v>0</v>
      </c>
      <c r="AN153" s="38">
        <f t="shared" si="198"/>
        <v>0</v>
      </c>
      <c r="AO153" s="38">
        <f t="shared" si="198"/>
        <v>0</v>
      </c>
      <c r="AP153" s="38">
        <f t="shared" si="198"/>
        <v>0</v>
      </c>
      <c r="AQ153" s="38">
        <f t="shared" si="198"/>
        <v>0</v>
      </c>
      <c r="AR153" s="38">
        <f t="shared" si="198"/>
        <v>0</v>
      </c>
      <c r="AS153" s="38">
        <f t="shared" si="198"/>
        <v>0</v>
      </c>
      <c r="AT153" s="38">
        <f t="shared" si="198"/>
        <v>0</v>
      </c>
      <c r="AU153" s="38">
        <f t="shared" si="198"/>
        <v>0</v>
      </c>
    </row>
    <row r="154" spans="1:47" x14ac:dyDescent="0.35">
      <c r="A154" s="1"/>
      <c r="D154" s="2" t="s">
        <v>177</v>
      </c>
      <c r="G154" s="75"/>
      <c r="I154" s="16" t="s">
        <v>114</v>
      </c>
      <c r="K154" s="38">
        <f>-MIN(MAX(K149,0),SUM(K151:K153)) * K134</f>
        <v>0</v>
      </c>
      <c r="L154" s="38">
        <f t="shared" ref="L154:AU154" si="199">-MIN(MAX(L149,0),SUM(L151:L153)) * L134</f>
        <v>-4237086.4651178401</v>
      </c>
      <c r="M154" s="38">
        <f t="shared" si="199"/>
        <v>-4125592.1700266432</v>
      </c>
      <c r="N154" s="38">
        <f t="shared" si="199"/>
        <v>-4012660.4818617785</v>
      </c>
      <c r="O154" s="38">
        <f t="shared" si="199"/>
        <v>-3898232.5041068513</v>
      </c>
      <c r="P154" s="38">
        <f t="shared" si="199"/>
        <v>-3782247.7410841417</v>
      </c>
      <c r="Q154" s="38">
        <f t="shared" si="199"/>
        <v>0</v>
      </c>
      <c r="R154" s="38">
        <f t="shared" si="199"/>
        <v>0</v>
      </c>
      <c r="S154" s="38">
        <f t="shared" si="199"/>
        <v>0</v>
      </c>
      <c r="T154" s="38">
        <f t="shared" si="199"/>
        <v>0</v>
      </c>
      <c r="U154" s="38">
        <f t="shared" si="199"/>
        <v>0</v>
      </c>
      <c r="V154" s="38">
        <f t="shared" si="199"/>
        <v>0</v>
      </c>
      <c r="W154" s="38">
        <f t="shared" si="199"/>
        <v>0</v>
      </c>
      <c r="X154" s="38">
        <f t="shared" si="199"/>
        <v>0</v>
      </c>
      <c r="Y154" s="38">
        <f t="shared" si="199"/>
        <v>0</v>
      </c>
      <c r="Z154" s="38">
        <f t="shared" si="199"/>
        <v>0</v>
      </c>
      <c r="AA154" s="38">
        <f t="shared" si="199"/>
        <v>0</v>
      </c>
      <c r="AB154" s="38">
        <f t="shared" si="199"/>
        <v>0</v>
      </c>
      <c r="AC154" s="38">
        <f t="shared" si="199"/>
        <v>0</v>
      </c>
      <c r="AD154" s="38">
        <f t="shared" si="199"/>
        <v>0</v>
      </c>
      <c r="AE154" s="38">
        <f t="shared" si="199"/>
        <v>0</v>
      </c>
      <c r="AF154" s="38">
        <f t="shared" si="199"/>
        <v>0</v>
      </c>
      <c r="AG154" s="38">
        <f t="shared" si="199"/>
        <v>0</v>
      </c>
      <c r="AH154" s="38">
        <f t="shared" si="199"/>
        <v>0</v>
      </c>
      <c r="AI154" s="38">
        <f t="shared" si="199"/>
        <v>0</v>
      </c>
      <c r="AJ154" s="38">
        <f t="shared" si="199"/>
        <v>0</v>
      </c>
      <c r="AK154" s="38">
        <f t="shared" si="199"/>
        <v>0</v>
      </c>
      <c r="AL154" s="38">
        <f t="shared" si="199"/>
        <v>0</v>
      </c>
      <c r="AM154" s="38">
        <f t="shared" si="199"/>
        <v>0</v>
      </c>
      <c r="AN154" s="38">
        <f t="shared" si="199"/>
        <v>0</v>
      </c>
      <c r="AO154" s="38">
        <f t="shared" si="199"/>
        <v>0</v>
      </c>
      <c r="AP154" s="38">
        <f t="shared" si="199"/>
        <v>0</v>
      </c>
      <c r="AQ154" s="38">
        <f t="shared" si="199"/>
        <v>0</v>
      </c>
      <c r="AR154" s="38">
        <f t="shared" si="199"/>
        <v>0</v>
      </c>
      <c r="AS154" s="38">
        <f t="shared" si="199"/>
        <v>0</v>
      </c>
      <c r="AT154" s="38">
        <f t="shared" si="199"/>
        <v>0</v>
      </c>
      <c r="AU154" s="38">
        <f t="shared" si="199"/>
        <v>0</v>
      </c>
    </row>
    <row r="155" spans="1:47" x14ac:dyDescent="0.35">
      <c r="A155" s="1"/>
      <c r="D155" s="2" t="s">
        <v>176</v>
      </c>
      <c r="G155" s="75">
        <f>H134</f>
        <v>48579</v>
      </c>
      <c r="I155" s="16" t="s">
        <v>114</v>
      </c>
      <c r="K155" s="38">
        <f t="shared" ref="K155:AU155" si="200">-SUM(K151:K154)*K135</f>
        <v>0</v>
      </c>
      <c r="L155" s="38">
        <f t="shared" si="200"/>
        <v>0</v>
      </c>
      <c r="M155" s="38">
        <f t="shared" si="200"/>
        <v>0</v>
      </c>
      <c r="N155" s="38">
        <f t="shared" si="200"/>
        <v>0</v>
      </c>
      <c r="O155" s="38">
        <f t="shared" si="200"/>
        <v>0</v>
      </c>
      <c r="P155" s="38">
        <f t="shared" si="200"/>
        <v>-96159873.244430721</v>
      </c>
      <c r="Q155" s="38">
        <f t="shared" si="200"/>
        <v>0</v>
      </c>
      <c r="R155" s="38">
        <f t="shared" si="200"/>
        <v>0</v>
      </c>
      <c r="S155" s="38">
        <f t="shared" si="200"/>
        <v>0</v>
      </c>
      <c r="T155" s="38">
        <f t="shared" si="200"/>
        <v>0</v>
      </c>
      <c r="U155" s="38">
        <f t="shared" si="200"/>
        <v>0</v>
      </c>
      <c r="V155" s="38">
        <f t="shared" si="200"/>
        <v>0</v>
      </c>
      <c r="W155" s="38">
        <f t="shared" si="200"/>
        <v>0</v>
      </c>
      <c r="X155" s="38">
        <f t="shared" si="200"/>
        <v>0</v>
      </c>
      <c r="Y155" s="38">
        <f t="shared" si="200"/>
        <v>0</v>
      </c>
      <c r="Z155" s="38">
        <f t="shared" si="200"/>
        <v>0</v>
      </c>
      <c r="AA155" s="38">
        <f t="shared" si="200"/>
        <v>0</v>
      </c>
      <c r="AB155" s="38">
        <f t="shared" si="200"/>
        <v>0</v>
      </c>
      <c r="AC155" s="38">
        <f t="shared" si="200"/>
        <v>0</v>
      </c>
      <c r="AD155" s="38">
        <f t="shared" si="200"/>
        <v>0</v>
      </c>
      <c r="AE155" s="38">
        <f t="shared" si="200"/>
        <v>0</v>
      </c>
      <c r="AF155" s="38">
        <f t="shared" si="200"/>
        <v>0</v>
      </c>
      <c r="AG155" s="38">
        <f t="shared" si="200"/>
        <v>0</v>
      </c>
      <c r="AH155" s="38">
        <f t="shared" si="200"/>
        <v>0</v>
      </c>
      <c r="AI155" s="38">
        <f t="shared" si="200"/>
        <v>0</v>
      </c>
      <c r="AJ155" s="38">
        <f t="shared" si="200"/>
        <v>0</v>
      </c>
      <c r="AK155" s="38">
        <f t="shared" si="200"/>
        <v>0</v>
      </c>
      <c r="AL155" s="38">
        <f t="shared" si="200"/>
        <v>0</v>
      </c>
      <c r="AM155" s="38">
        <f t="shared" si="200"/>
        <v>0</v>
      </c>
      <c r="AN155" s="38">
        <f t="shared" si="200"/>
        <v>0</v>
      </c>
      <c r="AO155" s="38">
        <f t="shared" si="200"/>
        <v>0</v>
      </c>
      <c r="AP155" s="38">
        <f t="shared" si="200"/>
        <v>0</v>
      </c>
      <c r="AQ155" s="38">
        <f t="shared" si="200"/>
        <v>0</v>
      </c>
      <c r="AR155" s="38">
        <f t="shared" si="200"/>
        <v>0</v>
      </c>
      <c r="AS155" s="38">
        <f t="shared" si="200"/>
        <v>0</v>
      </c>
      <c r="AT155" s="38">
        <f t="shared" si="200"/>
        <v>0</v>
      </c>
      <c r="AU155" s="38">
        <f t="shared" si="200"/>
        <v>0</v>
      </c>
    </row>
    <row r="156" spans="1:47" x14ac:dyDescent="0.35">
      <c r="A156" s="1"/>
      <c r="D156" s="3" t="s">
        <v>13</v>
      </c>
      <c r="E156" s="23"/>
      <c r="F156" s="23"/>
      <c r="G156" s="23"/>
      <c r="H156" s="23"/>
      <c r="I156" s="23" t="s">
        <v>114</v>
      </c>
      <c r="J156" s="23"/>
      <c r="K156" s="40">
        <f>SUM(K151:K155)</f>
        <v>131825074.44346899</v>
      </c>
      <c r="L156" s="40">
        <f t="shared" ref="L156" si="201">SUM(L151:L155)</f>
        <v>125349402.97029448</v>
      </c>
      <c r="M156" s="40">
        <f t="shared" ref="M156" si="202">SUM(M151:M155)</f>
        <v>118564307.14645481</v>
      </c>
      <c r="N156" s="40">
        <f t="shared" ref="N156" si="203">SUM(N151:N155)</f>
        <v>111451111.78223044</v>
      </c>
      <c r="O156" s="40">
        <f t="shared" ref="O156" si="204">SUM(O151:O155)</f>
        <v>103989986.69708641</v>
      </c>
      <c r="P156" s="40">
        <f t="shared" ref="P156" si="205">SUM(P151:P155)</f>
        <v>0</v>
      </c>
      <c r="Q156" s="40">
        <f t="shared" ref="Q156" si="206">SUM(Q151:Q155)</f>
        <v>0</v>
      </c>
      <c r="R156" s="40">
        <f t="shared" ref="R156" si="207">SUM(R151:R155)</f>
        <v>0</v>
      </c>
      <c r="S156" s="40">
        <f t="shared" ref="S156" si="208">SUM(S151:S155)</f>
        <v>0</v>
      </c>
      <c r="T156" s="40">
        <f t="shared" ref="T156" si="209">SUM(T151:T155)</f>
        <v>0</v>
      </c>
      <c r="U156" s="40">
        <f t="shared" ref="U156" si="210">SUM(U151:U155)</f>
        <v>0</v>
      </c>
      <c r="V156" s="40">
        <f t="shared" ref="V156" si="211">SUM(V151:V155)</f>
        <v>0</v>
      </c>
      <c r="W156" s="40">
        <f t="shared" ref="W156" si="212">SUM(W151:W155)</f>
        <v>0</v>
      </c>
      <c r="X156" s="40">
        <f t="shared" ref="X156" si="213">SUM(X151:X155)</f>
        <v>0</v>
      </c>
      <c r="Y156" s="40">
        <f t="shared" ref="Y156" si="214">SUM(Y151:Y155)</f>
        <v>0</v>
      </c>
      <c r="Z156" s="40">
        <f t="shared" ref="Z156" si="215">SUM(Z151:Z155)</f>
        <v>0</v>
      </c>
      <c r="AA156" s="40">
        <f t="shared" ref="AA156" si="216">SUM(AA151:AA155)</f>
        <v>0</v>
      </c>
      <c r="AB156" s="40">
        <f t="shared" ref="AB156" si="217">SUM(AB151:AB155)</f>
        <v>0</v>
      </c>
      <c r="AC156" s="40">
        <f t="shared" ref="AC156" si="218">SUM(AC151:AC155)</f>
        <v>0</v>
      </c>
      <c r="AD156" s="40">
        <f t="shared" ref="AD156" si="219">SUM(AD151:AD155)</f>
        <v>0</v>
      </c>
      <c r="AE156" s="40">
        <f t="shared" ref="AE156" si="220">SUM(AE151:AE155)</f>
        <v>0</v>
      </c>
      <c r="AF156" s="40">
        <f t="shared" ref="AF156" si="221">SUM(AF151:AF155)</f>
        <v>0</v>
      </c>
      <c r="AG156" s="40">
        <f t="shared" ref="AG156" si="222">SUM(AG151:AG155)</f>
        <v>0</v>
      </c>
      <c r="AH156" s="40">
        <f t="shared" ref="AH156" si="223">SUM(AH151:AH155)</f>
        <v>0</v>
      </c>
      <c r="AI156" s="40">
        <f t="shared" ref="AI156" si="224">SUM(AI151:AI155)</f>
        <v>0</v>
      </c>
      <c r="AJ156" s="40">
        <f t="shared" ref="AJ156" si="225">SUM(AJ151:AJ155)</f>
        <v>0</v>
      </c>
      <c r="AK156" s="40">
        <f t="shared" ref="AK156" si="226">SUM(AK151:AK155)</f>
        <v>0</v>
      </c>
      <c r="AL156" s="40">
        <f t="shared" ref="AL156" si="227">SUM(AL151:AL155)</f>
        <v>0</v>
      </c>
      <c r="AM156" s="40">
        <f t="shared" ref="AM156" si="228">SUM(AM151:AM155)</f>
        <v>0</v>
      </c>
      <c r="AN156" s="40">
        <f t="shared" ref="AN156" si="229">SUM(AN151:AN155)</f>
        <v>0</v>
      </c>
      <c r="AO156" s="40">
        <f t="shared" ref="AO156" si="230">SUM(AO151:AO155)</f>
        <v>0</v>
      </c>
      <c r="AP156" s="40">
        <f t="shared" ref="AP156" si="231">SUM(AP151:AP155)</f>
        <v>0</v>
      </c>
      <c r="AQ156" s="40">
        <f t="shared" ref="AQ156" si="232">SUM(AQ151:AQ155)</f>
        <v>0</v>
      </c>
      <c r="AR156" s="40">
        <f t="shared" ref="AR156" si="233">SUM(AR151:AR155)</f>
        <v>0</v>
      </c>
      <c r="AS156" s="40">
        <f t="shared" ref="AS156" si="234">SUM(AS151:AS155)</f>
        <v>0</v>
      </c>
      <c r="AT156" s="40">
        <f t="shared" ref="AT156" si="235">SUM(AT151:AT155)</f>
        <v>0</v>
      </c>
      <c r="AU156" s="40">
        <f t="shared" ref="AU156" si="236">SUM(AU151:AU155)</f>
        <v>0</v>
      </c>
    </row>
    <row r="157" spans="1:47" x14ac:dyDescent="0.35">
      <c r="A157" s="1"/>
    </row>
    <row r="158" spans="1:47" x14ac:dyDescent="0.35">
      <c r="A158" s="1"/>
      <c r="C158" s="5" t="s">
        <v>81</v>
      </c>
    </row>
    <row r="159" spans="1:47" x14ac:dyDescent="0.35">
      <c r="A159" s="1"/>
      <c r="D159" s="8" t="str">
        <f>D138</f>
        <v>Interest rate</v>
      </c>
      <c r="E159" s="81">
        <f>E138</f>
        <v>6.5000000000000002E-2</v>
      </c>
      <c r="I159" s="16" t="s">
        <v>4</v>
      </c>
    </row>
    <row r="160" spans="1:47" x14ac:dyDescent="0.35">
      <c r="A160" s="1"/>
      <c r="D160" s="2" t="s">
        <v>60</v>
      </c>
      <c r="I160" s="16" t="s">
        <v>114</v>
      </c>
      <c r="J160" s="61">
        <f>SUM(K160:AU160)</f>
        <v>46995322.23639527</v>
      </c>
      <c r="K160" s="38">
        <f t="shared" ref="K160:AU160" si="237">SUM(K151:K152) * $E159</f>
        <v>8568629.8388254847</v>
      </c>
      <c r="L160" s="38">
        <f t="shared" si="237"/>
        <v>8568629.8388254847</v>
      </c>
      <c r="M160" s="38">
        <f t="shared" si="237"/>
        <v>8147711.1930691414</v>
      </c>
      <c r="N160" s="38">
        <f t="shared" si="237"/>
        <v>7706679.9645195631</v>
      </c>
      <c r="O160" s="38">
        <f t="shared" si="237"/>
        <v>7244322.2658449784</v>
      </c>
      <c r="P160" s="38">
        <f t="shared" si="237"/>
        <v>6759349.1353106163</v>
      </c>
      <c r="Q160" s="38">
        <f t="shared" si="237"/>
        <v>0</v>
      </c>
      <c r="R160" s="38">
        <f t="shared" si="237"/>
        <v>0</v>
      </c>
      <c r="S160" s="38">
        <f t="shared" si="237"/>
        <v>0</v>
      </c>
      <c r="T160" s="38">
        <f t="shared" si="237"/>
        <v>0</v>
      </c>
      <c r="U160" s="38">
        <f t="shared" si="237"/>
        <v>0</v>
      </c>
      <c r="V160" s="38">
        <f t="shared" si="237"/>
        <v>0</v>
      </c>
      <c r="W160" s="38">
        <f t="shared" si="237"/>
        <v>0</v>
      </c>
      <c r="X160" s="38">
        <f t="shared" si="237"/>
        <v>0</v>
      </c>
      <c r="Y160" s="38">
        <f t="shared" si="237"/>
        <v>0</v>
      </c>
      <c r="Z160" s="38">
        <f t="shared" si="237"/>
        <v>0</v>
      </c>
      <c r="AA160" s="38">
        <f t="shared" si="237"/>
        <v>0</v>
      </c>
      <c r="AB160" s="38">
        <f t="shared" si="237"/>
        <v>0</v>
      </c>
      <c r="AC160" s="38">
        <f t="shared" si="237"/>
        <v>0</v>
      </c>
      <c r="AD160" s="38">
        <f t="shared" si="237"/>
        <v>0</v>
      </c>
      <c r="AE160" s="38">
        <f t="shared" si="237"/>
        <v>0</v>
      </c>
      <c r="AF160" s="38">
        <f t="shared" si="237"/>
        <v>0</v>
      </c>
      <c r="AG160" s="38">
        <f t="shared" si="237"/>
        <v>0</v>
      </c>
      <c r="AH160" s="38">
        <f t="shared" si="237"/>
        <v>0</v>
      </c>
      <c r="AI160" s="38">
        <f t="shared" si="237"/>
        <v>0</v>
      </c>
      <c r="AJ160" s="38">
        <f t="shared" si="237"/>
        <v>0</v>
      </c>
      <c r="AK160" s="38">
        <f t="shared" si="237"/>
        <v>0</v>
      </c>
      <c r="AL160" s="38">
        <f t="shared" si="237"/>
        <v>0</v>
      </c>
      <c r="AM160" s="38">
        <f t="shared" si="237"/>
        <v>0</v>
      </c>
      <c r="AN160" s="38">
        <f t="shared" si="237"/>
        <v>0</v>
      </c>
      <c r="AO160" s="38">
        <f t="shared" si="237"/>
        <v>0</v>
      </c>
      <c r="AP160" s="38">
        <f t="shared" si="237"/>
        <v>0</v>
      </c>
      <c r="AQ160" s="38">
        <f t="shared" si="237"/>
        <v>0</v>
      </c>
      <c r="AR160" s="38">
        <f t="shared" si="237"/>
        <v>0</v>
      </c>
      <c r="AS160" s="38">
        <f t="shared" si="237"/>
        <v>0</v>
      </c>
      <c r="AT160" s="38">
        <f t="shared" si="237"/>
        <v>0</v>
      </c>
      <c r="AU160" s="38">
        <f t="shared" si="237"/>
        <v>0</v>
      </c>
    </row>
    <row r="161" spans="3:47" x14ac:dyDescent="0.35">
      <c r="D161" s="2" t="s">
        <v>171</v>
      </c>
      <c r="I161" s="16" t="s">
        <v>114</v>
      </c>
      <c r="J161" s="61">
        <f t="shared" ref="J161:J162" si="238">SUM(K161:AU161)</f>
        <v>8568629.8388254847</v>
      </c>
      <c r="K161" s="38">
        <f t="shared" ref="K161:AU161" si="239">K160*K131</f>
        <v>8568629.8388254847</v>
      </c>
      <c r="L161" s="38">
        <f t="shared" si="239"/>
        <v>0</v>
      </c>
      <c r="M161" s="38">
        <f t="shared" si="239"/>
        <v>0</v>
      </c>
      <c r="N161" s="38">
        <f t="shared" si="239"/>
        <v>0</v>
      </c>
      <c r="O161" s="38">
        <f t="shared" si="239"/>
        <v>0</v>
      </c>
      <c r="P161" s="38">
        <f t="shared" si="239"/>
        <v>0</v>
      </c>
      <c r="Q161" s="38">
        <f t="shared" si="239"/>
        <v>0</v>
      </c>
      <c r="R161" s="38">
        <f t="shared" si="239"/>
        <v>0</v>
      </c>
      <c r="S161" s="38">
        <f t="shared" si="239"/>
        <v>0</v>
      </c>
      <c r="T161" s="38">
        <f t="shared" si="239"/>
        <v>0</v>
      </c>
      <c r="U161" s="38">
        <f t="shared" si="239"/>
        <v>0</v>
      </c>
      <c r="V161" s="38">
        <f t="shared" si="239"/>
        <v>0</v>
      </c>
      <c r="W161" s="38">
        <f t="shared" si="239"/>
        <v>0</v>
      </c>
      <c r="X161" s="38">
        <f t="shared" si="239"/>
        <v>0</v>
      </c>
      <c r="Y161" s="38">
        <f t="shared" si="239"/>
        <v>0</v>
      </c>
      <c r="Z161" s="38">
        <f t="shared" si="239"/>
        <v>0</v>
      </c>
      <c r="AA161" s="38">
        <f t="shared" si="239"/>
        <v>0</v>
      </c>
      <c r="AB161" s="38">
        <f t="shared" si="239"/>
        <v>0</v>
      </c>
      <c r="AC161" s="38">
        <f t="shared" si="239"/>
        <v>0</v>
      </c>
      <c r="AD161" s="38">
        <f t="shared" si="239"/>
        <v>0</v>
      </c>
      <c r="AE161" s="38">
        <f t="shared" si="239"/>
        <v>0</v>
      </c>
      <c r="AF161" s="38">
        <f t="shared" si="239"/>
        <v>0</v>
      </c>
      <c r="AG161" s="38">
        <f t="shared" si="239"/>
        <v>0</v>
      </c>
      <c r="AH161" s="38">
        <f t="shared" si="239"/>
        <v>0</v>
      </c>
      <c r="AI161" s="38">
        <f t="shared" si="239"/>
        <v>0</v>
      </c>
      <c r="AJ161" s="38">
        <f t="shared" si="239"/>
        <v>0</v>
      </c>
      <c r="AK161" s="38">
        <f t="shared" si="239"/>
        <v>0</v>
      </c>
      <c r="AL161" s="38">
        <f t="shared" si="239"/>
        <v>0</v>
      </c>
      <c r="AM161" s="38">
        <f t="shared" si="239"/>
        <v>0</v>
      </c>
      <c r="AN161" s="38">
        <f t="shared" si="239"/>
        <v>0</v>
      </c>
      <c r="AO161" s="38">
        <f t="shared" si="239"/>
        <v>0</v>
      </c>
      <c r="AP161" s="38">
        <f t="shared" si="239"/>
        <v>0</v>
      </c>
      <c r="AQ161" s="38">
        <f t="shared" si="239"/>
        <v>0</v>
      </c>
      <c r="AR161" s="38">
        <f t="shared" si="239"/>
        <v>0</v>
      </c>
      <c r="AS161" s="38">
        <f t="shared" si="239"/>
        <v>0</v>
      </c>
      <c r="AT161" s="38">
        <f t="shared" si="239"/>
        <v>0</v>
      </c>
      <c r="AU161" s="38">
        <f t="shared" si="239"/>
        <v>0</v>
      </c>
    </row>
    <row r="162" spans="3:47" x14ac:dyDescent="0.35">
      <c r="D162" s="39" t="s">
        <v>173</v>
      </c>
      <c r="E162" s="18"/>
      <c r="F162" s="18"/>
      <c r="G162" s="18"/>
      <c r="H162" s="18"/>
      <c r="I162" s="18" t="s">
        <v>114</v>
      </c>
      <c r="J162" s="83">
        <f t="shared" si="238"/>
        <v>38426692.397569783</v>
      </c>
      <c r="K162" s="62">
        <f>K160-K161</f>
        <v>0</v>
      </c>
      <c r="L162" s="62">
        <f t="shared" ref="L162:AU162" si="240">L160-L161</f>
        <v>8568629.8388254847</v>
      </c>
      <c r="M162" s="62">
        <f t="shared" si="240"/>
        <v>8147711.1930691414</v>
      </c>
      <c r="N162" s="62">
        <f t="shared" si="240"/>
        <v>7706679.9645195631</v>
      </c>
      <c r="O162" s="62">
        <f t="shared" si="240"/>
        <v>7244322.2658449784</v>
      </c>
      <c r="P162" s="62">
        <f t="shared" si="240"/>
        <v>6759349.1353106163</v>
      </c>
      <c r="Q162" s="62">
        <f t="shared" si="240"/>
        <v>0</v>
      </c>
      <c r="R162" s="62">
        <f t="shared" si="240"/>
        <v>0</v>
      </c>
      <c r="S162" s="62">
        <f t="shared" si="240"/>
        <v>0</v>
      </c>
      <c r="T162" s="62">
        <f t="shared" si="240"/>
        <v>0</v>
      </c>
      <c r="U162" s="62">
        <f t="shared" si="240"/>
        <v>0</v>
      </c>
      <c r="V162" s="62">
        <f t="shared" si="240"/>
        <v>0</v>
      </c>
      <c r="W162" s="62">
        <f t="shared" si="240"/>
        <v>0</v>
      </c>
      <c r="X162" s="62">
        <f t="shared" si="240"/>
        <v>0</v>
      </c>
      <c r="Y162" s="62">
        <f t="shared" si="240"/>
        <v>0</v>
      </c>
      <c r="Z162" s="62">
        <f t="shared" si="240"/>
        <v>0</v>
      </c>
      <c r="AA162" s="62">
        <f t="shared" si="240"/>
        <v>0</v>
      </c>
      <c r="AB162" s="62">
        <f t="shared" si="240"/>
        <v>0</v>
      </c>
      <c r="AC162" s="62">
        <f t="shared" si="240"/>
        <v>0</v>
      </c>
      <c r="AD162" s="62">
        <f t="shared" si="240"/>
        <v>0</v>
      </c>
      <c r="AE162" s="62">
        <f t="shared" si="240"/>
        <v>0</v>
      </c>
      <c r="AF162" s="62">
        <f t="shared" si="240"/>
        <v>0</v>
      </c>
      <c r="AG162" s="62">
        <f t="shared" si="240"/>
        <v>0</v>
      </c>
      <c r="AH162" s="62">
        <f t="shared" si="240"/>
        <v>0</v>
      </c>
      <c r="AI162" s="62">
        <f t="shared" si="240"/>
        <v>0</v>
      </c>
      <c r="AJ162" s="62">
        <f t="shared" si="240"/>
        <v>0</v>
      </c>
      <c r="AK162" s="62">
        <f t="shared" si="240"/>
        <v>0</v>
      </c>
      <c r="AL162" s="62">
        <f t="shared" si="240"/>
        <v>0</v>
      </c>
      <c r="AM162" s="62">
        <f t="shared" si="240"/>
        <v>0</v>
      </c>
      <c r="AN162" s="62">
        <f t="shared" si="240"/>
        <v>0</v>
      </c>
      <c r="AO162" s="62">
        <f t="shared" si="240"/>
        <v>0</v>
      </c>
      <c r="AP162" s="62">
        <f t="shared" si="240"/>
        <v>0</v>
      </c>
      <c r="AQ162" s="62">
        <f t="shared" si="240"/>
        <v>0</v>
      </c>
      <c r="AR162" s="62">
        <f t="shared" si="240"/>
        <v>0</v>
      </c>
      <c r="AS162" s="62">
        <f t="shared" si="240"/>
        <v>0</v>
      </c>
      <c r="AT162" s="62">
        <f t="shared" si="240"/>
        <v>0</v>
      </c>
      <c r="AU162" s="86">
        <f t="shared" si="240"/>
        <v>0</v>
      </c>
    </row>
    <row r="164" spans="3:47" x14ac:dyDescent="0.35">
      <c r="C164" s="5" t="s">
        <v>187</v>
      </c>
    </row>
    <row r="165" spans="3:47" x14ac:dyDescent="0.35">
      <c r="D165" s="2" t="s">
        <v>188</v>
      </c>
      <c r="I165" s="27" t="s">
        <v>114</v>
      </c>
      <c r="J165" s="61">
        <f t="shared" ref="J165:J167" si="241">SUM(K165:AU165)</f>
        <v>15609381.836841011</v>
      </c>
      <c r="K165" s="38">
        <f>-K153</f>
        <v>0</v>
      </c>
      <c r="L165" s="38">
        <f t="shared" ref="L165:AU165" si="242">-L153</f>
        <v>2238585.0080566742</v>
      </c>
      <c r="M165" s="38">
        <f t="shared" si="242"/>
        <v>2659503.6538130175</v>
      </c>
      <c r="N165" s="38">
        <f t="shared" si="242"/>
        <v>3100534.8823625958</v>
      </c>
      <c r="O165" s="38">
        <f t="shared" si="242"/>
        <v>3562892.5810371805</v>
      </c>
      <c r="P165" s="38">
        <f t="shared" si="242"/>
        <v>4047865.7115715425</v>
      </c>
      <c r="Q165" s="38">
        <f t="shared" si="242"/>
        <v>0</v>
      </c>
      <c r="R165" s="38">
        <f t="shared" si="242"/>
        <v>0</v>
      </c>
      <c r="S165" s="38">
        <f t="shared" si="242"/>
        <v>0</v>
      </c>
      <c r="T165" s="38">
        <f t="shared" si="242"/>
        <v>0</v>
      </c>
      <c r="U165" s="38">
        <f t="shared" si="242"/>
        <v>0</v>
      </c>
      <c r="V165" s="38">
        <f t="shared" si="242"/>
        <v>0</v>
      </c>
      <c r="W165" s="38">
        <f t="shared" si="242"/>
        <v>0</v>
      </c>
      <c r="X165" s="38">
        <f t="shared" si="242"/>
        <v>0</v>
      </c>
      <c r="Y165" s="38">
        <f t="shared" si="242"/>
        <v>0</v>
      </c>
      <c r="Z165" s="38">
        <f t="shared" si="242"/>
        <v>0</v>
      </c>
      <c r="AA165" s="38">
        <f t="shared" si="242"/>
        <v>0</v>
      </c>
      <c r="AB165" s="38">
        <f t="shared" si="242"/>
        <v>0</v>
      </c>
      <c r="AC165" s="38">
        <f t="shared" si="242"/>
        <v>0</v>
      </c>
      <c r="AD165" s="38">
        <f t="shared" si="242"/>
        <v>0</v>
      </c>
      <c r="AE165" s="38">
        <f t="shared" si="242"/>
        <v>0</v>
      </c>
      <c r="AF165" s="38">
        <f t="shared" si="242"/>
        <v>0</v>
      </c>
      <c r="AG165" s="38">
        <f t="shared" si="242"/>
        <v>0</v>
      </c>
      <c r="AH165" s="38">
        <f t="shared" si="242"/>
        <v>0</v>
      </c>
      <c r="AI165" s="38">
        <f t="shared" si="242"/>
        <v>0</v>
      </c>
      <c r="AJ165" s="38">
        <f t="shared" si="242"/>
        <v>0</v>
      </c>
      <c r="AK165" s="38">
        <f t="shared" si="242"/>
        <v>0</v>
      </c>
      <c r="AL165" s="38">
        <f t="shared" si="242"/>
        <v>0</v>
      </c>
      <c r="AM165" s="38">
        <f t="shared" si="242"/>
        <v>0</v>
      </c>
      <c r="AN165" s="38">
        <f t="shared" si="242"/>
        <v>0</v>
      </c>
      <c r="AO165" s="38">
        <f t="shared" si="242"/>
        <v>0</v>
      </c>
      <c r="AP165" s="38">
        <f t="shared" si="242"/>
        <v>0</v>
      </c>
      <c r="AQ165" s="38">
        <f t="shared" si="242"/>
        <v>0</v>
      </c>
      <c r="AR165" s="38">
        <f t="shared" si="242"/>
        <v>0</v>
      </c>
      <c r="AS165" s="38">
        <f t="shared" si="242"/>
        <v>0</v>
      </c>
      <c r="AT165" s="38">
        <f t="shared" si="242"/>
        <v>0</v>
      </c>
      <c r="AU165" s="38">
        <f t="shared" si="242"/>
        <v>0</v>
      </c>
    </row>
    <row r="166" spans="3:47" x14ac:dyDescent="0.35">
      <c r="D166" s="2" t="s">
        <v>60</v>
      </c>
      <c r="I166" s="27" t="s">
        <v>114</v>
      </c>
      <c r="J166" s="61">
        <f t="shared" si="241"/>
        <v>38426692.397569783</v>
      </c>
      <c r="K166" s="38">
        <f>K162</f>
        <v>0</v>
      </c>
      <c r="L166" s="38">
        <f t="shared" ref="L166:AU166" si="243">L162</f>
        <v>8568629.8388254847</v>
      </c>
      <c r="M166" s="38">
        <f t="shared" si="243"/>
        <v>8147711.1930691414</v>
      </c>
      <c r="N166" s="38">
        <f t="shared" si="243"/>
        <v>7706679.9645195631</v>
      </c>
      <c r="O166" s="38">
        <f t="shared" si="243"/>
        <v>7244322.2658449784</v>
      </c>
      <c r="P166" s="38">
        <f t="shared" si="243"/>
        <v>6759349.1353106163</v>
      </c>
      <c r="Q166" s="38">
        <f t="shared" si="243"/>
        <v>0</v>
      </c>
      <c r="R166" s="38">
        <f t="shared" si="243"/>
        <v>0</v>
      </c>
      <c r="S166" s="38">
        <f t="shared" si="243"/>
        <v>0</v>
      </c>
      <c r="T166" s="38">
        <f t="shared" si="243"/>
        <v>0</v>
      </c>
      <c r="U166" s="38">
        <f t="shared" si="243"/>
        <v>0</v>
      </c>
      <c r="V166" s="38">
        <f t="shared" si="243"/>
        <v>0</v>
      </c>
      <c r="W166" s="38">
        <f t="shared" si="243"/>
        <v>0</v>
      </c>
      <c r="X166" s="38">
        <f t="shared" si="243"/>
        <v>0</v>
      </c>
      <c r="Y166" s="38">
        <f t="shared" si="243"/>
        <v>0</v>
      </c>
      <c r="Z166" s="38">
        <f t="shared" si="243"/>
        <v>0</v>
      </c>
      <c r="AA166" s="38">
        <f t="shared" si="243"/>
        <v>0</v>
      </c>
      <c r="AB166" s="38">
        <f t="shared" si="243"/>
        <v>0</v>
      </c>
      <c r="AC166" s="38">
        <f t="shared" si="243"/>
        <v>0</v>
      </c>
      <c r="AD166" s="38">
        <f t="shared" si="243"/>
        <v>0</v>
      </c>
      <c r="AE166" s="38">
        <f t="shared" si="243"/>
        <v>0</v>
      </c>
      <c r="AF166" s="38">
        <f t="shared" si="243"/>
        <v>0</v>
      </c>
      <c r="AG166" s="38">
        <f t="shared" si="243"/>
        <v>0</v>
      </c>
      <c r="AH166" s="38">
        <f t="shared" si="243"/>
        <v>0</v>
      </c>
      <c r="AI166" s="38">
        <f t="shared" si="243"/>
        <v>0</v>
      </c>
      <c r="AJ166" s="38">
        <f t="shared" si="243"/>
        <v>0</v>
      </c>
      <c r="AK166" s="38">
        <f t="shared" si="243"/>
        <v>0</v>
      </c>
      <c r="AL166" s="38">
        <f t="shared" si="243"/>
        <v>0</v>
      </c>
      <c r="AM166" s="38">
        <f t="shared" si="243"/>
        <v>0</v>
      </c>
      <c r="AN166" s="38">
        <f t="shared" si="243"/>
        <v>0</v>
      </c>
      <c r="AO166" s="38">
        <f t="shared" si="243"/>
        <v>0</v>
      </c>
      <c r="AP166" s="38">
        <f t="shared" si="243"/>
        <v>0</v>
      </c>
      <c r="AQ166" s="38">
        <f t="shared" si="243"/>
        <v>0</v>
      </c>
      <c r="AR166" s="38">
        <f t="shared" si="243"/>
        <v>0</v>
      </c>
      <c r="AS166" s="38">
        <f t="shared" si="243"/>
        <v>0</v>
      </c>
      <c r="AT166" s="38">
        <f t="shared" si="243"/>
        <v>0</v>
      </c>
      <c r="AU166" s="38">
        <f t="shared" si="243"/>
        <v>0</v>
      </c>
    </row>
    <row r="167" spans="3:47" x14ac:dyDescent="0.35">
      <c r="D167" s="45" t="s">
        <v>187</v>
      </c>
      <c r="E167" s="23"/>
      <c r="F167" s="23"/>
      <c r="G167" s="23"/>
      <c r="H167" s="23"/>
      <c r="I167" s="48" t="s">
        <v>114</v>
      </c>
      <c r="J167" s="82">
        <f t="shared" si="241"/>
        <v>54036074.234410793</v>
      </c>
      <c r="K167" s="40">
        <f>SUM(K165:K166)</f>
        <v>0</v>
      </c>
      <c r="L167" s="40">
        <f t="shared" ref="L167:AU167" si="244">SUM(L165:L166)</f>
        <v>10807214.846882159</v>
      </c>
      <c r="M167" s="40">
        <f t="shared" si="244"/>
        <v>10807214.846882159</v>
      </c>
      <c r="N167" s="40">
        <f t="shared" si="244"/>
        <v>10807214.846882159</v>
      </c>
      <c r="O167" s="40">
        <f t="shared" si="244"/>
        <v>10807214.846882159</v>
      </c>
      <c r="P167" s="40">
        <f t="shared" si="244"/>
        <v>10807214.846882159</v>
      </c>
      <c r="Q167" s="40">
        <f t="shared" si="244"/>
        <v>0</v>
      </c>
      <c r="R167" s="40">
        <f t="shared" si="244"/>
        <v>0</v>
      </c>
      <c r="S167" s="40">
        <f t="shared" si="244"/>
        <v>0</v>
      </c>
      <c r="T167" s="40">
        <f t="shared" si="244"/>
        <v>0</v>
      </c>
      <c r="U167" s="40">
        <f t="shared" si="244"/>
        <v>0</v>
      </c>
      <c r="V167" s="40">
        <f t="shared" si="244"/>
        <v>0</v>
      </c>
      <c r="W167" s="40">
        <f t="shared" si="244"/>
        <v>0</v>
      </c>
      <c r="X167" s="40">
        <f t="shared" si="244"/>
        <v>0</v>
      </c>
      <c r="Y167" s="40">
        <f t="shared" si="244"/>
        <v>0</v>
      </c>
      <c r="Z167" s="40">
        <f t="shared" si="244"/>
        <v>0</v>
      </c>
      <c r="AA167" s="40">
        <f t="shared" si="244"/>
        <v>0</v>
      </c>
      <c r="AB167" s="40">
        <f t="shared" si="244"/>
        <v>0</v>
      </c>
      <c r="AC167" s="40">
        <f t="shared" si="244"/>
        <v>0</v>
      </c>
      <c r="AD167" s="40">
        <f t="shared" si="244"/>
        <v>0</v>
      </c>
      <c r="AE167" s="40">
        <f t="shared" si="244"/>
        <v>0</v>
      </c>
      <c r="AF167" s="40">
        <f t="shared" si="244"/>
        <v>0</v>
      </c>
      <c r="AG167" s="40">
        <f t="shared" si="244"/>
        <v>0</v>
      </c>
      <c r="AH167" s="40">
        <f t="shared" si="244"/>
        <v>0</v>
      </c>
      <c r="AI167" s="40">
        <f t="shared" si="244"/>
        <v>0</v>
      </c>
      <c r="AJ167" s="40">
        <f t="shared" si="244"/>
        <v>0</v>
      </c>
      <c r="AK167" s="40">
        <f t="shared" si="244"/>
        <v>0</v>
      </c>
      <c r="AL167" s="40">
        <f t="shared" si="244"/>
        <v>0</v>
      </c>
      <c r="AM167" s="40">
        <f t="shared" si="244"/>
        <v>0</v>
      </c>
      <c r="AN167" s="40">
        <f t="shared" si="244"/>
        <v>0</v>
      </c>
      <c r="AO167" s="40">
        <f t="shared" si="244"/>
        <v>0</v>
      </c>
      <c r="AP167" s="40">
        <f t="shared" si="244"/>
        <v>0</v>
      </c>
      <c r="AQ167" s="40">
        <f t="shared" si="244"/>
        <v>0</v>
      </c>
      <c r="AR167" s="40">
        <f t="shared" si="244"/>
        <v>0</v>
      </c>
      <c r="AS167" s="40">
        <f t="shared" si="244"/>
        <v>0</v>
      </c>
      <c r="AT167" s="40">
        <f t="shared" si="244"/>
        <v>0</v>
      </c>
      <c r="AU167" s="40">
        <f t="shared" si="244"/>
        <v>0</v>
      </c>
    </row>
    <row r="168" spans="3:47" x14ac:dyDescent="0.35">
      <c r="D168" s="120" t="str">
        <f>D143</f>
        <v>Cash flow available for debt service</v>
      </c>
      <c r="E168" s="47"/>
      <c r="F168" s="47"/>
      <c r="G168" s="47"/>
      <c r="H168" s="47"/>
      <c r="I168" s="27" t="s">
        <v>114</v>
      </c>
      <c r="J168" s="61">
        <f t="shared" ref="J168" ca="1" si="245">SUM(K168:AU168)</f>
        <v>73659605.002732754</v>
      </c>
      <c r="K168" s="121">
        <f ca="1">K143*K134</f>
        <v>0</v>
      </c>
      <c r="L168" s="121">
        <f t="shared" ref="L168:AU168" ca="1" si="246">L143*L134</f>
        <v>14936229.163531177</v>
      </c>
      <c r="M168" s="121">
        <f t="shared" ca="1" si="246"/>
        <v>14824734.86843998</v>
      </c>
      <c r="N168" s="121">
        <f t="shared" ca="1" si="246"/>
        <v>14711803.180275116</v>
      </c>
      <c r="O168" s="121">
        <f t="shared" ca="1" si="246"/>
        <v>14597375.202520188</v>
      </c>
      <c r="P168" s="121">
        <f t="shared" ca="1" si="246"/>
        <v>14589462.587966301</v>
      </c>
      <c r="Q168" s="121">
        <f t="shared" ca="1" si="246"/>
        <v>0</v>
      </c>
      <c r="R168" s="121">
        <f t="shared" ca="1" si="246"/>
        <v>0</v>
      </c>
      <c r="S168" s="121">
        <f t="shared" ca="1" si="246"/>
        <v>0</v>
      </c>
      <c r="T168" s="121">
        <f t="shared" ca="1" si="246"/>
        <v>0</v>
      </c>
      <c r="U168" s="121">
        <f t="shared" ca="1" si="246"/>
        <v>0</v>
      </c>
      <c r="V168" s="121">
        <f t="shared" ca="1" si="246"/>
        <v>0</v>
      </c>
      <c r="W168" s="121">
        <f t="shared" ca="1" si="246"/>
        <v>0</v>
      </c>
      <c r="X168" s="121">
        <f t="shared" ca="1" si="246"/>
        <v>0</v>
      </c>
      <c r="Y168" s="121">
        <f t="shared" ca="1" si="246"/>
        <v>0</v>
      </c>
      <c r="Z168" s="121">
        <f t="shared" ca="1" si="246"/>
        <v>0</v>
      </c>
      <c r="AA168" s="121">
        <f t="shared" ca="1" si="246"/>
        <v>0</v>
      </c>
      <c r="AB168" s="121">
        <f t="shared" ca="1" si="246"/>
        <v>0</v>
      </c>
      <c r="AC168" s="121">
        <f t="shared" ca="1" si="246"/>
        <v>0</v>
      </c>
      <c r="AD168" s="121">
        <f t="shared" ca="1" si="246"/>
        <v>0</v>
      </c>
      <c r="AE168" s="121">
        <f t="shared" ca="1" si="246"/>
        <v>0</v>
      </c>
      <c r="AF168" s="121">
        <f t="shared" ca="1" si="246"/>
        <v>0</v>
      </c>
      <c r="AG168" s="121">
        <f t="shared" ca="1" si="246"/>
        <v>0</v>
      </c>
      <c r="AH168" s="121">
        <f t="shared" ca="1" si="246"/>
        <v>0</v>
      </c>
      <c r="AI168" s="121">
        <f t="shared" ca="1" si="246"/>
        <v>0</v>
      </c>
      <c r="AJ168" s="121">
        <f t="shared" ca="1" si="246"/>
        <v>0</v>
      </c>
      <c r="AK168" s="121">
        <f t="shared" ca="1" si="246"/>
        <v>0</v>
      </c>
      <c r="AL168" s="121">
        <f t="shared" ca="1" si="246"/>
        <v>0</v>
      </c>
      <c r="AM168" s="121">
        <f t="shared" ca="1" si="246"/>
        <v>0</v>
      </c>
      <c r="AN168" s="121">
        <f t="shared" ca="1" si="246"/>
        <v>0</v>
      </c>
      <c r="AO168" s="121">
        <f t="shared" ca="1" si="246"/>
        <v>0</v>
      </c>
      <c r="AP168" s="121">
        <f t="shared" ca="1" si="246"/>
        <v>0</v>
      </c>
      <c r="AQ168" s="121">
        <f t="shared" ca="1" si="246"/>
        <v>0</v>
      </c>
      <c r="AR168" s="121">
        <f t="shared" ca="1" si="246"/>
        <v>0</v>
      </c>
      <c r="AS168" s="121">
        <f t="shared" ca="1" si="246"/>
        <v>0</v>
      </c>
      <c r="AT168" s="121">
        <f t="shared" ca="1" si="246"/>
        <v>0</v>
      </c>
      <c r="AU168" s="121">
        <f t="shared" ca="1" si="246"/>
        <v>0</v>
      </c>
    </row>
    <row r="169" spans="3:47" x14ac:dyDescent="0.35">
      <c r="D169" s="120" t="s">
        <v>63</v>
      </c>
      <c r="E169" s="47"/>
      <c r="F169" s="47"/>
      <c r="G169" s="47"/>
      <c r="H169" s="47"/>
      <c r="I169" s="27"/>
      <c r="J169" s="27"/>
      <c r="K169" s="122">
        <f ca="1">IFERROR(K168/K167,0)</f>
        <v>0</v>
      </c>
      <c r="L169" s="122">
        <f t="shared" ref="L169:AU169" ca="1" si="247">IFERROR(L168/L167,0)</f>
        <v>1.3820609079350563</v>
      </c>
      <c r="M169" s="122">
        <f t="shared" ca="1" si="247"/>
        <v>1.3717442540449596</v>
      </c>
      <c r="N169" s="122">
        <f t="shared" ca="1" si="247"/>
        <v>1.3612945970551715</v>
      </c>
      <c r="O169" s="122">
        <f t="shared" ca="1" si="247"/>
        <v>1.3507064872251962</v>
      </c>
      <c r="P169" s="122">
        <f t="shared" ca="1" si="247"/>
        <v>1.3499743268428965</v>
      </c>
      <c r="Q169" s="122">
        <f t="shared" ca="1" si="247"/>
        <v>0</v>
      </c>
      <c r="R169" s="122">
        <f t="shared" ca="1" si="247"/>
        <v>0</v>
      </c>
      <c r="S169" s="122">
        <f t="shared" ca="1" si="247"/>
        <v>0</v>
      </c>
      <c r="T169" s="122">
        <f t="shared" ca="1" si="247"/>
        <v>0</v>
      </c>
      <c r="U169" s="122">
        <f t="shared" ca="1" si="247"/>
        <v>0</v>
      </c>
      <c r="V169" s="122">
        <f t="shared" ca="1" si="247"/>
        <v>0</v>
      </c>
      <c r="W169" s="122">
        <f t="shared" ca="1" si="247"/>
        <v>0</v>
      </c>
      <c r="X169" s="122">
        <f t="shared" ca="1" si="247"/>
        <v>0</v>
      </c>
      <c r="Y169" s="122">
        <f t="shared" ca="1" si="247"/>
        <v>0</v>
      </c>
      <c r="Z169" s="122">
        <f t="shared" ca="1" si="247"/>
        <v>0</v>
      </c>
      <c r="AA169" s="122">
        <f t="shared" ca="1" si="247"/>
        <v>0</v>
      </c>
      <c r="AB169" s="122">
        <f t="shared" ca="1" si="247"/>
        <v>0</v>
      </c>
      <c r="AC169" s="122">
        <f t="shared" ca="1" si="247"/>
        <v>0</v>
      </c>
      <c r="AD169" s="122">
        <f t="shared" ca="1" si="247"/>
        <v>0</v>
      </c>
      <c r="AE169" s="122">
        <f t="shared" ca="1" si="247"/>
        <v>0</v>
      </c>
      <c r="AF169" s="122">
        <f t="shared" ca="1" si="247"/>
        <v>0</v>
      </c>
      <c r="AG169" s="122">
        <f t="shared" ca="1" si="247"/>
        <v>0</v>
      </c>
      <c r="AH169" s="122">
        <f t="shared" ca="1" si="247"/>
        <v>0</v>
      </c>
      <c r="AI169" s="122">
        <f t="shared" ca="1" si="247"/>
        <v>0</v>
      </c>
      <c r="AJ169" s="122">
        <f t="shared" ca="1" si="247"/>
        <v>0</v>
      </c>
      <c r="AK169" s="122">
        <f t="shared" ca="1" si="247"/>
        <v>0</v>
      </c>
      <c r="AL169" s="122">
        <f t="shared" ca="1" si="247"/>
        <v>0</v>
      </c>
      <c r="AM169" s="122">
        <f t="shared" ca="1" si="247"/>
        <v>0</v>
      </c>
      <c r="AN169" s="122">
        <f t="shared" ca="1" si="247"/>
        <v>0</v>
      </c>
      <c r="AO169" s="122">
        <f t="shared" ca="1" si="247"/>
        <v>0</v>
      </c>
      <c r="AP169" s="122">
        <f t="shared" ca="1" si="247"/>
        <v>0</v>
      </c>
      <c r="AQ169" s="122">
        <f t="shared" ca="1" si="247"/>
        <v>0</v>
      </c>
      <c r="AR169" s="122">
        <f t="shared" ca="1" si="247"/>
        <v>0</v>
      </c>
      <c r="AS169" s="122">
        <f t="shared" ca="1" si="247"/>
        <v>0</v>
      </c>
      <c r="AT169" s="122">
        <f t="shared" ca="1" si="247"/>
        <v>0</v>
      </c>
      <c r="AU169" s="122">
        <f t="shared" ca="1" si="247"/>
        <v>0</v>
      </c>
    </row>
    <row r="171" spans="3:47" x14ac:dyDescent="0.35">
      <c r="C171" s="5" t="s">
        <v>61</v>
      </c>
    </row>
    <row r="172" spans="3:47" x14ac:dyDescent="0.35">
      <c r="D172" s="8" t="str">
        <f>Input!D64</f>
        <v>DSRA months required</v>
      </c>
      <c r="E172" s="17">
        <f>Input!E64</f>
        <v>6</v>
      </c>
      <c r="I172" s="16" t="s">
        <v>11</v>
      </c>
      <c r="K172" s="38">
        <f t="shared" ref="K172:AU172" si="248">$E172*K139</f>
        <v>0</v>
      </c>
      <c r="L172" s="38">
        <f t="shared" si="248"/>
        <v>6</v>
      </c>
      <c r="M172" s="38">
        <f t="shared" si="248"/>
        <v>6</v>
      </c>
      <c r="N172" s="38">
        <f t="shared" si="248"/>
        <v>6</v>
      </c>
      <c r="O172" s="38">
        <f t="shared" si="248"/>
        <v>6</v>
      </c>
      <c r="P172" s="38">
        <f t="shared" si="248"/>
        <v>6</v>
      </c>
      <c r="Q172" s="38">
        <f t="shared" si="248"/>
        <v>6</v>
      </c>
      <c r="R172" s="38">
        <f t="shared" si="248"/>
        <v>6</v>
      </c>
      <c r="S172" s="38">
        <f t="shared" si="248"/>
        <v>6</v>
      </c>
      <c r="T172" s="38">
        <f t="shared" si="248"/>
        <v>6</v>
      </c>
      <c r="U172" s="38">
        <f t="shared" si="248"/>
        <v>6</v>
      </c>
      <c r="V172" s="38">
        <f t="shared" si="248"/>
        <v>6</v>
      </c>
      <c r="W172" s="38">
        <f t="shared" si="248"/>
        <v>6</v>
      </c>
      <c r="X172" s="38">
        <f t="shared" si="248"/>
        <v>6</v>
      </c>
      <c r="Y172" s="38">
        <f t="shared" si="248"/>
        <v>6</v>
      </c>
      <c r="Z172" s="38">
        <f t="shared" si="248"/>
        <v>6</v>
      </c>
      <c r="AA172" s="38">
        <f t="shared" si="248"/>
        <v>6</v>
      </c>
      <c r="AB172" s="38">
        <f t="shared" si="248"/>
        <v>6</v>
      </c>
      <c r="AC172" s="38">
        <f t="shared" si="248"/>
        <v>6</v>
      </c>
      <c r="AD172" s="38">
        <f t="shared" si="248"/>
        <v>6</v>
      </c>
      <c r="AE172" s="38">
        <f t="shared" si="248"/>
        <v>6</v>
      </c>
      <c r="AF172" s="38">
        <f t="shared" si="248"/>
        <v>6</v>
      </c>
      <c r="AG172" s="38">
        <f t="shared" si="248"/>
        <v>6</v>
      </c>
      <c r="AH172" s="38">
        <f t="shared" si="248"/>
        <v>6</v>
      </c>
      <c r="AI172" s="38">
        <f t="shared" si="248"/>
        <v>6</v>
      </c>
      <c r="AJ172" s="38">
        <f t="shared" si="248"/>
        <v>6</v>
      </c>
      <c r="AK172" s="38">
        <f t="shared" si="248"/>
        <v>0</v>
      </c>
      <c r="AL172" s="38">
        <f t="shared" si="248"/>
        <v>0</v>
      </c>
      <c r="AM172" s="38">
        <f t="shared" si="248"/>
        <v>0</v>
      </c>
      <c r="AN172" s="38">
        <f t="shared" si="248"/>
        <v>0</v>
      </c>
      <c r="AO172" s="38">
        <f t="shared" si="248"/>
        <v>0</v>
      </c>
      <c r="AP172" s="38">
        <f t="shared" si="248"/>
        <v>0</v>
      </c>
      <c r="AQ172" s="38">
        <f t="shared" si="248"/>
        <v>0</v>
      </c>
      <c r="AR172" s="38">
        <f t="shared" si="248"/>
        <v>0</v>
      </c>
      <c r="AS172" s="38">
        <f t="shared" si="248"/>
        <v>0</v>
      </c>
      <c r="AT172" s="38">
        <f t="shared" si="248"/>
        <v>0</v>
      </c>
      <c r="AU172" s="38">
        <f t="shared" si="248"/>
        <v>0</v>
      </c>
    </row>
    <row r="173" spans="3:47" x14ac:dyDescent="0.35">
      <c r="D173" s="8" t="str">
        <f>Input!D65</f>
        <v>Letter of credit fee</v>
      </c>
      <c r="E173" s="79">
        <f>Input!E65</f>
        <v>0.02</v>
      </c>
      <c r="K173" s="35">
        <f t="shared" ref="K173:AU173" si="249">$E173*K139</f>
        <v>0</v>
      </c>
      <c r="L173" s="35">
        <f t="shared" si="249"/>
        <v>0.02</v>
      </c>
      <c r="M173" s="35">
        <f t="shared" si="249"/>
        <v>0.02</v>
      </c>
      <c r="N173" s="35">
        <f t="shared" si="249"/>
        <v>0.02</v>
      </c>
      <c r="O173" s="35">
        <f t="shared" si="249"/>
        <v>0.02</v>
      </c>
      <c r="P173" s="35">
        <f t="shared" si="249"/>
        <v>0.02</v>
      </c>
      <c r="Q173" s="35">
        <f t="shared" si="249"/>
        <v>0.02</v>
      </c>
      <c r="R173" s="35">
        <f t="shared" si="249"/>
        <v>0.02</v>
      </c>
      <c r="S173" s="35">
        <f t="shared" si="249"/>
        <v>0.02</v>
      </c>
      <c r="T173" s="35">
        <f t="shared" si="249"/>
        <v>0.02</v>
      </c>
      <c r="U173" s="35">
        <f t="shared" si="249"/>
        <v>0.02</v>
      </c>
      <c r="V173" s="35">
        <f t="shared" si="249"/>
        <v>0.02</v>
      </c>
      <c r="W173" s="35">
        <f t="shared" si="249"/>
        <v>0.02</v>
      </c>
      <c r="X173" s="35">
        <f t="shared" si="249"/>
        <v>0.02</v>
      </c>
      <c r="Y173" s="35">
        <f t="shared" si="249"/>
        <v>0.02</v>
      </c>
      <c r="Z173" s="35">
        <f t="shared" si="249"/>
        <v>0.02</v>
      </c>
      <c r="AA173" s="35">
        <f t="shared" si="249"/>
        <v>0.02</v>
      </c>
      <c r="AB173" s="35">
        <f t="shared" si="249"/>
        <v>0.02</v>
      </c>
      <c r="AC173" s="35">
        <f t="shared" si="249"/>
        <v>0.02</v>
      </c>
      <c r="AD173" s="35">
        <f t="shared" si="249"/>
        <v>0.02</v>
      </c>
      <c r="AE173" s="35">
        <f t="shared" si="249"/>
        <v>0.02</v>
      </c>
      <c r="AF173" s="35">
        <f t="shared" si="249"/>
        <v>0.02</v>
      </c>
      <c r="AG173" s="35">
        <f t="shared" si="249"/>
        <v>0.02</v>
      </c>
      <c r="AH173" s="35">
        <f t="shared" si="249"/>
        <v>0.02</v>
      </c>
      <c r="AI173" s="35">
        <f t="shared" si="249"/>
        <v>0.02</v>
      </c>
      <c r="AJ173" s="35">
        <f t="shared" si="249"/>
        <v>0.02</v>
      </c>
      <c r="AK173" s="35">
        <f t="shared" si="249"/>
        <v>0</v>
      </c>
      <c r="AL173" s="35">
        <f t="shared" si="249"/>
        <v>0</v>
      </c>
      <c r="AM173" s="35">
        <f t="shared" si="249"/>
        <v>0</v>
      </c>
      <c r="AN173" s="35">
        <f t="shared" si="249"/>
        <v>0</v>
      </c>
      <c r="AO173" s="35">
        <f t="shared" si="249"/>
        <v>0</v>
      </c>
      <c r="AP173" s="35">
        <f t="shared" si="249"/>
        <v>0</v>
      </c>
      <c r="AQ173" s="35">
        <f t="shared" si="249"/>
        <v>0</v>
      </c>
      <c r="AR173" s="35">
        <f t="shared" si="249"/>
        <v>0</v>
      </c>
      <c r="AS173" s="35">
        <f t="shared" si="249"/>
        <v>0</v>
      </c>
      <c r="AT173" s="35">
        <f t="shared" si="249"/>
        <v>0</v>
      </c>
      <c r="AU173" s="35">
        <f t="shared" si="249"/>
        <v>0</v>
      </c>
    </row>
    <row r="174" spans="3:47" x14ac:dyDescent="0.35">
      <c r="D174" s="8"/>
      <c r="E174" s="97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</row>
    <row r="175" spans="3:47" x14ac:dyDescent="0.35">
      <c r="D175" s="8" t="str">
        <f>D142</f>
        <v>Debt service</v>
      </c>
      <c r="E175" s="97"/>
      <c r="I175" s="16" t="s">
        <v>114</v>
      </c>
      <c r="K175" s="38">
        <f>K167</f>
        <v>0</v>
      </c>
      <c r="L175" s="38">
        <f t="shared" ref="L175:AU175" si="250">L167</f>
        <v>10807214.846882159</v>
      </c>
      <c r="M175" s="38">
        <f t="shared" si="250"/>
        <v>10807214.846882159</v>
      </c>
      <c r="N175" s="38">
        <f t="shared" si="250"/>
        <v>10807214.846882159</v>
      </c>
      <c r="O175" s="38">
        <f t="shared" si="250"/>
        <v>10807214.846882159</v>
      </c>
      <c r="P175" s="38">
        <f t="shared" si="250"/>
        <v>10807214.846882159</v>
      </c>
      <c r="Q175" s="38">
        <f t="shared" si="250"/>
        <v>0</v>
      </c>
      <c r="R175" s="38">
        <f t="shared" si="250"/>
        <v>0</v>
      </c>
      <c r="S175" s="38">
        <f t="shared" si="250"/>
        <v>0</v>
      </c>
      <c r="T175" s="38">
        <f t="shared" si="250"/>
        <v>0</v>
      </c>
      <c r="U175" s="38">
        <f t="shared" si="250"/>
        <v>0</v>
      </c>
      <c r="V175" s="38">
        <f t="shared" si="250"/>
        <v>0</v>
      </c>
      <c r="W175" s="38">
        <f t="shared" si="250"/>
        <v>0</v>
      </c>
      <c r="X175" s="38">
        <f t="shared" si="250"/>
        <v>0</v>
      </c>
      <c r="Y175" s="38">
        <f t="shared" si="250"/>
        <v>0</v>
      </c>
      <c r="Z175" s="38">
        <f t="shared" si="250"/>
        <v>0</v>
      </c>
      <c r="AA175" s="38">
        <f t="shared" si="250"/>
        <v>0</v>
      </c>
      <c r="AB175" s="38">
        <f t="shared" si="250"/>
        <v>0</v>
      </c>
      <c r="AC175" s="38">
        <f t="shared" si="250"/>
        <v>0</v>
      </c>
      <c r="AD175" s="38">
        <f t="shared" si="250"/>
        <v>0</v>
      </c>
      <c r="AE175" s="38">
        <f t="shared" si="250"/>
        <v>0</v>
      </c>
      <c r="AF175" s="38">
        <f t="shared" si="250"/>
        <v>0</v>
      </c>
      <c r="AG175" s="38">
        <f t="shared" si="250"/>
        <v>0</v>
      </c>
      <c r="AH175" s="38">
        <f t="shared" si="250"/>
        <v>0</v>
      </c>
      <c r="AI175" s="38">
        <f t="shared" si="250"/>
        <v>0</v>
      </c>
      <c r="AJ175" s="38">
        <f t="shared" si="250"/>
        <v>0</v>
      </c>
      <c r="AK175" s="38">
        <f t="shared" si="250"/>
        <v>0</v>
      </c>
      <c r="AL175" s="38">
        <f t="shared" si="250"/>
        <v>0</v>
      </c>
      <c r="AM175" s="38">
        <f t="shared" si="250"/>
        <v>0</v>
      </c>
      <c r="AN175" s="38">
        <f t="shared" si="250"/>
        <v>0</v>
      </c>
      <c r="AO175" s="38">
        <f t="shared" si="250"/>
        <v>0</v>
      </c>
      <c r="AP175" s="38">
        <f t="shared" si="250"/>
        <v>0</v>
      </c>
      <c r="AQ175" s="38">
        <f t="shared" si="250"/>
        <v>0</v>
      </c>
      <c r="AR175" s="38">
        <f t="shared" si="250"/>
        <v>0</v>
      </c>
      <c r="AS175" s="38">
        <f t="shared" si="250"/>
        <v>0</v>
      </c>
      <c r="AT175" s="38">
        <f t="shared" si="250"/>
        <v>0</v>
      </c>
      <c r="AU175" s="38">
        <f t="shared" si="250"/>
        <v>0</v>
      </c>
    </row>
    <row r="176" spans="3:47" x14ac:dyDescent="0.35">
      <c r="D176" s="2" t="s">
        <v>62</v>
      </c>
      <c r="E176" s="74" cm="1">
        <f t="array" aca="1" ref="E176" ca="1">INDEX(K176:AU176, MATCH(TRUE, K176:AU176 &lt;&gt; 0, 0))</f>
        <v>5403607.4234410794</v>
      </c>
      <c r="I176" s="16" t="s">
        <v>114</v>
      </c>
      <c r="K176" s="38">
        <f ca="1">OFFSET(K175,,1)*K172/$E$2</f>
        <v>0</v>
      </c>
      <c r="L176" s="38">
        <f t="shared" ref="L176:AU176" ca="1" si="251">OFFSET(L175,,1)*L172/$E$2</f>
        <v>5403607.4234410794</v>
      </c>
      <c r="M176" s="38">
        <f t="shared" ca="1" si="251"/>
        <v>5403607.4234410794</v>
      </c>
      <c r="N176" s="38">
        <f t="shared" ca="1" si="251"/>
        <v>5403607.4234410794</v>
      </c>
      <c r="O176" s="38">
        <f t="shared" ca="1" si="251"/>
        <v>5403607.4234410794</v>
      </c>
      <c r="P176" s="38">
        <f t="shared" ca="1" si="251"/>
        <v>0</v>
      </c>
      <c r="Q176" s="38">
        <f t="shared" ca="1" si="251"/>
        <v>0</v>
      </c>
      <c r="R176" s="38">
        <f t="shared" ca="1" si="251"/>
        <v>0</v>
      </c>
      <c r="S176" s="38">
        <f t="shared" ca="1" si="251"/>
        <v>0</v>
      </c>
      <c r="T176" s="38">
        <f t="shared" ca="1" si="251"/>
        <v>0</v>
      </c>
      <c r="U176" s="38">
        <f t="shared" ca="1" si="251"/>
        <v>0</v>
      </c>
      <c r="V176" s="38">
        <f t="shared" ca="1" si="251"/>
        <v>0</v>
      </c>
      <c r="W176" s="38">
        <f t="shared" ca="1" si="251"/>
        <v>0</v>
      </c>
      <c r="X176" s="38">
        <f t="shared" ca="1" si="251"/>
        <v>0</v>
      </c>
      <c r="Y176" s="38">
        <f t="shared" ca="1" si="251"/>
        <v>0</v>
      </c>
      <c r="Z176" s="38">
        <f t="shared" ca="1" si="251"/>
        <v>0</v>
      </c>
      <c r="AA176" s="38">
        <f t="shared" ca="1" si="251"/>
        <v>0</v>
      </c>
      <c r="AB176" s="38">
        <f t="shared" ca="1" si="251"/>
        <v>0</v>
      </c>
      <c r="AC176" s="38">
        <f t="shared" ca="1" si="251"/>
        <v>0</v>
      </c>
      <c r="AD176" s="38">
        <f t="shared" ca="1" si="251"/>
        <v>0</v>
      </c>
      <c r="AE176" s="38">
        <f t="shared" ca="1" si="251"/>
        <v>0</v>
      </c>
      <c r="AF176" s="38">
        <f t="shared" ca="1" si="251"/>
        <v>0</v>
      </c>
      <c r="AG176" s="38">
        <f t="shared" ca="1" si="251"/>
        <v>0</v>
      </c>
      <c r="AH176" s="38">
        <f t="shared" ca="1" si="251"/>
        <v>0</v>
      </c>
      <c r="AI176" s="38">
        <f t="shared" ca="1" si="251"/>
        <v>0</v>
      </c>
      <c r="AJ176" s="38">
        <f t="shared" ca="1" si="251"/>
        <v>0</v>
      </c>
      <c r="AK176" s="38">
        <f t="shared" ca="1" si="251"/>
        <v>0</v>
      </c>
      <c r="AL176" s="38">
        <f t="shared" ca="1" si="251"/>
        <v>0</v>
      </c>
      <c r="AM176" s="38">
        <f t="shared" ca="1" si="251"/>
        <v>0</v>
      </c>
      <c r="AN176" s="38">
        <f t="shared" ca="1" si="251"/>
        <v>0</v>
      </c>
      <c r="AO176" s="38">
        <f t="shared" ca="1" si="251"/>
        <v>0</v>
      </c>
      <c r="AP176" s="38">
        <f t="shared" ca="1" si="251"/>
        <v>0</v>
      </c>
      <c r="AQ176" s="38">
        <f t="shared" ca="1" si="251"/>
        <v>0</v>
      </c>
      <c r="AR176" s="38">
        <f t="shared" ca="1" si="251"/>
        <v>0</v>
      </c>
      <c r="AS176" s="38">
        <f t="shared" ca="1" si="251"/>
        <v>0</v>
      </c>
      <c r="AT176" s="38">
        <f t="shared" ca="1" si="251"/>
        <v>0</v>
      </c>
      <c r="AU176" s="38">
        <f t="shared" ca="1" si="251"/>
        <v>0</v>
      </c>
    </row>
    <row r="177" spans="2:47" x14ac:dyDescent="0.35">
      <c r="E177" s="60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</row>
    <row r="178" spans="2:47" x14ac:dyDescent="0.35">
      <c r="D178" s="126" t="s">
        <v>149</v>
      </c>
      <c r="E178" s="119"/>
      <c r="F178" s="18"/>
      <c r="G178" s="18"/>
      <c r="H178" s="18"/>
      <c r="I178" s="18" t="s">
        <v>114</v>
      </c>
      <c r="J178" s="18"/>
      <c r="K178" s="62">
        <f ca="1">K173*K176</f>
        <v>0</v>
      </c>
      <c r="L178" s="62">
        <f t="shared" ref="L178:AU178" ca="1" si="252">L173*L176</f>
        <v>108072.14846882159</v>
      </c>
      <c r="M178" s="62">
        <f t="shared" ca="1" si="252"/>
        <v>108072.14846882159</v>
      </c>
      <c r="N178" s="62">
        <f t="shared" ca="1" si="252"/>
        <v>108072.14846882159</v>
      </c>
      <c r="O178" s="62">
        <f t="shared" ca="1" si="252"/>
        <v>108072.14846882159</v>
      </c>
      <c r="P178" s="62">
        <f t="shared" ca="1" si="252"/>
        <v>0</v>
      </c>
      <c r="Q178" s="62">
        <f t="shared" ca="1" si="252"/>
        <v>0</v>
      </c>
      <c r="R178" s="62">
        <f t="shared" ca="1" si="252"/>
        <v>0</v>
      </c>
      <c r="S178" s="62">
        <f t="shared" ca="1" si="252"/>
        <v>0</v>
      </c>
      <c r="T178" s="62">
        <f t="shared" ca="1" si="252"/>
        <v>0</v>
      </c>
      <c r="U178" s="62">
        <f t="shared" ca="1" si="252"/>
        <v>0</v>
      </c>
      <c r="V178" s="62">
        <f t="shared" ca="1" si="252"/>
        <v>0</v>
      </c>
      <c r="W178" s="62">
        <f t="shared" ca="1" si="252"/>
        <v>0</v>
      </c>
      <c r="X178" s="62">
        <f t="shared" ca="1" si="252"/>
        <v>0</v>
      </c>
      <c r="Y178" s="62">
        <f t="shared" ca="1" si="252"/>
        <v>0</v>
      </c>
      <c r="Z178" s="62">
        <f t="shared" ca="1" si="252"/>
        <v>0</v>
      </c>
      <c r="AA178" s="62">
        <f t="shared" ca="1" si="252"/>
        <v>0</v>
      </c>
      <c r="AB178" s="62">
        <f t="shared" ca="1" si="252"/>
        <v>0</v>
      </c>
      <c r="AC178" s="62">
        <f t="shared" ca="1" si="252"/>
        <v>0</v>
      </c>
      <c r="AD178" s="62">
        <f t="shared" ca="1" si="252"/>
        <v>0</v>
      </c>
      <c r="AE178" s="62">
        <f t="shared" ca="1" si="252"/>
        <v>0</v>
      </c>
      <c r="AF178" s="62">
        <f t="shared" ca="1" si="252"/>
        <v>0</v>
      </c>
      <c r="AG178" s="62">
        <f t="shared" ca="1" si="252"/>
        <v>0</v>
      </c>
      <c r="AH178" s="62">
        <f t="shared" ca="1" si="252"/>
        <v>0</v>
      </c>
      <c r="AI178" s="62">
        <f t="shared" ca="1" si="252"/>
        <v>0</v>
      </c>
      <c r="AJ178" s="62">
        <f t="shared" ca="1" si="252"/>
        <v>0</v>
      </c>
      <c r="AK178" s="62">
        <f t="shared" ca="1" si="252"/>
        <v>0</v>
      </c>
      <c r="AL178" s="62">
        <f t="shared" ca="1" si="252"/>
        <v>0</v>
      </c>
      <c r="AM178" s="62">
        <f t="shared" ca="1" si="252"/>
        <v>0</v>
      </c>
      <c r="AN178" s="62">
        <f t="shared" ca="1" si="252"/>
        <v>0</v>
      </c>
      <c r="AO178" s="62">
        <f t="shared" ca="1" si="252"/>
        <v>0</v>
      </c>
      <c r="AP178" s="62">
        <f t="shared" ca="1" si="252"/>
        <v>0</v>
      </c>
      <c r="AQ178" s="62">
        <f t="shared" ca="1" si="252"/>
        <v>0</v>
      </c>
      <c r="AR178" s="62">
        <f t="shared" ca="1" si="252"/>
        <v>0</v>
      </c>
      <c r="AS178" s="62">
        <f t="shared" ca="1" si="252"/>
        <v>0</v>
      </c>
      <c r="AT178" s="62">
        <f t="shared" ca="1" si="252"/>
        <v>0</v>
      </c>
      <c r="AU178" s="86">
        <f t="shared" ca="1" si="252"/>
        <v>0</v>
      </c>
    </row>
    <row r="180" spans="2:47" x14ac:dyDescent="0.35">
      <c r="C180" s="5" t="s">
        <v>65</v>
      </c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</row>
    <row r="181" spans="2:47" x14ac:dyDescent="0.35">
      <c r="D181" s="2" t="s">
        <v>9</v>
      </c>
      <c r="E181" s="123" cm="1">
        <f t="array" aca="1" ref="E181" ca="1">MIN(IF(K$169:AU$169&lt;&gt;0, K$169:AU$169))</f>
        <v>1.3499743268428965</v>
      </c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</row>
    <row r="182" spans="2:47" x14ac:dyDescent="0.35">
      <c r="D182" s="2" t="s">
        <v>64</v>
      </c>
      <c r="E182" s="123" cm="1">
        <f t="array" aca="1" ref="E182" ca="1">AVERAGE(IF(K$169:AU$169&lt;&gt;0, K$169:AU$169))</f>
        <v>1.3631561146206559</v>
      </c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</row>
    <row r="184" spans="2:47" x14ac:dyDescent="0.35">
      <c r="D184" s="8" t="str">
        <f>D168</f>
        <v>Cash flow available for debt service</v>
      </c>
      <c r="K184" s="38">
        <f t="shared" ref="K184:AU184" ca="1" si="253">K143*K139</f>
        <v>0</v>
      </c>
      <c r="L184" s="38">
        <f t="shared" ca="1" si="253"/>
        <v>14936229.163531177</v>
      </c>
      <c r="M184" s="38">
        <f t="shared" ca="1" si="253"/>
        <v>14824734.86843998</v>
      </c>
      <c r="N184" s="38">
        <f t="shared" ca="1" si="253"/>
        <v>14711803.180275116</v>
      </c>
      <c r="O184" s="38">
        <f t="shared" ca="1" si="253"/>
        <v>14597375.202520188</v>
      </c>
      <c r="P184" s="38">
        <f t="shared" ca="1" si="253"/>
        <v>14589462.587966301</v>
      </c>
      <c r="Q184" s="38">
        <f t="shared" ca="1" si="253"/>
        <v>14471858.90189231</v>
      </c>
      <c r="R184" s="38">
        <f t="shared" ca="1" si="253"/>
        <v>14352572.468820866</v>
      </c>
      <c r="S184" s="38">
        <f t="shared" ca="1" si="253"/>
        <v>14231537.733445384</v>
      </c>
      <c r="T184" s="38">
        <f t="shared" ca="1" si="253"/>
        <v>14108687.362731151</v>
      </c>
      <c r="U184" s="38">
        <f t="shared" ca="1" si="253"/>
        <v>13983952.198347859</v>
      </c>
      <c r="V184" s="38">
        <f t="shared" ca="1" si="253"/>
        <v>11787928.323808944</v>
      </c>
      <c r="W184" s="38">
        <f t="shared" ca="1" si="253"/>
        <v>11901509.957131051</v>
      </c>
      <c r="X184" s="38">
        <f t="shared" ca="1" si="253"/>
        <v>12015232.494322103</v>
      </c>
      <c r="Y184" s="38">
        <f t="shared" ca="1" si="253"/>
        <v>12129059.248288043</v>
      </c>
      <c r="Z184" s="38">
        <f t="shared" ca="1" si="253"/>
        <v>12242952.015633088</v>
      </c>
      <c r="AA184" s="38">
        <f t="shared" ca="1" si="253"/>
        <v>12356871.029825214</v>
      </c>
      <c r="AB184" s="38">
        <f t="shared" ca="1" si="253"/>
        <v>12470774.913057785</v>
      </c>
      <c r="AC184" s="38">
        <f t="shared" ca="1" si="253"/>
        <v>12584620.626772726</v>
      </c>
      <c r="AD184" s="38">
        <f t="shared" ca="1" si="253"/>
        <v>12698363.420809768</v>
      </c>
      <c r="AE184" s="38">
        <f t="shared" ca="1" si="253"/>
        <v>12438622.130272083</v>
      </c>
      <c r="AF184" s="38">
        <f t="shared" ca="1" si="253"/>
        <v>9047746.6633289568</v>
      </c>
      <c r="AG184" s="38">
        <f t="shared" ca="1" si="253"/>
        <v>9126950.0010948665</v>
      </c>
      <c r="AH184" s="38">
        <f t="shared" ca="1" si="253"/>
        <v>9205943.2664055396</v>
      </c>
      <c r="AI184" s="38">
        <f t="shared" ca="1" si="253"/>
        <v>9284688.5741267037</v>
      </c>
      <c r="AJ184" s="38">
        <f t="shared" ca="1" si="253"/>
        <v>9363146.6057592072</v>
      </c>
      <c r="AK184" s="38">
        <f t="shared" ca="1" si="253"/>
        <v>0</v>
      </c>
      <c r="AL184" s="38">
        <f t="shared" ca="1" si="253"/>
        <v>0</v>
      </c>
      <c r="AM184" s="38">
        <f t="shared" ca="1" si="253"/>
        <v>0</v>
      </c>
      <c r="AN184" s="38">
        <f t="shared" ca="1" si="253"/>
        <v>0</v>
      </c>
      <c r="AO184" s="38">
        <f t="shared" ca="1" si="253"/>
        <v>0</v>
      </c>
      <c r="AP184" s="38">
        <f t="shared" ca="1" si="253"/>
        <v>0</v>
      </c>
      <c r="AQ184" s="38">
        <f t="shared" ca="1" si="253"/>
        <v>0</v>
      </c>
      <c r="AR184" s="38">
        <f t="shared" ca="1" si="253"/>
        <v>0</v>
      </c>
      <c r="AS184" s="38">
        <f t="shared" ca="1" si="253"/>
        <v>0</v>
      </c>
      <c r="AT184" s="38">
        <f t="shared" ca="1" si="253"/>
        <v>0</v>
      </c>
      <c r="AU184" s="38">
        <f t="shared" ca="1" si="253"/>
        <v>0</v>
      </c>
    </row>
    <row r="185" spans="2:47" x14ac:dyDescent="0.35">
      <c r="D185" s="8" t="str">
        <f>D167</f>
        <v>Scheduled debt service</v>
      </c>
      <c r="K185" s="38">
        <f t="shared" ref="K185:AU185" si="254">K142*K139</f>
        <v>0</v>
      </c>
      <c r="L185" s="38">
        <f t="shared" si="254"/>
        <v>10807214.846882159</v>
      </c>
      <c r="M185" s="38">
        <f t="shared" si="254"/>
        <v>10807214.846882159</v>
      </c>
      <c r="N185" s="38">
        <f t="shared" si="254"/>
        <v>10807214.846882159</v>
      </c>
      <c r="O185" s="38">
        <f t="shared" si="254"/>
        <v>10807214.846882159</v>
      </c>
      <c r="P185" s="38">
        <f t="shared" si="254"/>
        <v>10807214.846882159</v>
      </c>
      <c r="Q185" s="38">
        <f t="shared" si="254"/>
        <v>10807214.846882159</v>
      </c>
      <c r="R185" s="38">
        <f t="shared" si="254"/>
        <v>10807214.846882159</v>
      </c>
      <c r="S185" s="38">
        <f t="shared" si="254"/>
        <v>10807214.846882159</v>
      </c>
      <c r="T185" s="38">
        <f t="shared" si="254"/>
        <v>10807214.846882159</v>
      </c>
      <c r="U185" s="38">
        <f t="shared" si="254"/>
        <v>10807214.846882159</v>
      </c>
      <c r="V185" s="38">
        <f t="shared" si="254"/>
        <v>10807214.846882159</v>
      </c>
      <c r="W185" s="38">
        <f t="shared" si="254"/>
        <v>10807214.846882159</v>
      </c>
      <c r="X185" s="38">
        <f t="shared" si="254"/>
        <v>10807214.846882159</v>
      </c>
      <c r="Y185" s="38">
        <f t="shared" si="254"/>
        <v>10807214.846882159</v>
      </c>
      <c r="Z185" s="38">
        <f t="shared" si="254"/>
        <v>10807214.846882159</v>
      </c>
      <c r="AA185" s="38">
        <f t="shared" si="254"/>
        <v>10807214.846882159</v>
      </c>
      <c r="AB185" s="38">
        <f t="shared" si="254"/>
        <v>10807214.846882159</v>
      </c>
      <c r="AC185" s="38">
        <f t="shared" si="254"/>
        <v>10807214.846882159</v>
      </c>
      <c r="AD185" s="38">
        <f t="shared" si="254"/>
        <v>10807214.846882159</v>
      </c>
      <c r="AE185" s="38">
        <f t="shared" si="254"/>
        <v>10807214.846882159</v>
      </c>
      <c r="AF185" s="38">
        <f t="shared" si="254"/>
        <v>10807214.846882159</v>
      </c>
      <c r="AG185" s="38">
        <f t="shared" si="254"/>
        <v>10807214.846882159</v>
      </c>
      <c r="AH185" s="38">
        <f t="shared" si="254"/>
        <v>10807214.846882159</v>
      </c>
      <c r="AI185" s="38">
        <f t="shared" si="254"/>
        <v>10807214.846882159</v>
      </c>
      <c r="AJ185" s="38">
        <f t="shared" si="254"/>
        <v>10807214.846882159</v>
      </c>
      <c r="AK185" s="38">
        <f t="shared" si="254"/>
        <v>0</v>
      </c>
      <c r="AL185" s="38">
        <f t="shared" si="254"/>
        <v>0</v>
      </c>
      <c r="AM185" s="38">
        <f t="shared" si="254"/>
        <v>0</v>
      </c>
      <c r="AN185" s="38">
        <f t="shared" si="254"/>
        <v>0</v>
      </c>
      <c r="AO185" s="38">
        <f t="shared" si="254"/>
        <v>0</v>
      </c>
      <c r="AP185" s="38">
        <f t="shared" si="254"/>
        <v>0</v>
      </c>
      <c r="AQ185" s="38">
        <f t="shared" si="254"/>
        <v>0</v>
      </c>
      <c r="AR185" s="38">
        <f t="shared" si="254"/>
        <v>0</v>
      </c>
      <c r="AS185" s="38">
        <f t="shared" si="254"/>
        <v>0</v>
      </c>
      <c r="AT185" s="38">
        <f t="shared" si="254"/>
        <v>0</v>
      </c>
      <c r="AU185" s="38">
        <f t="shared" si="254"/>
        <v>0</v>
      </c>
    </row>
    <row r="186" spans="2:47" x14ac:dyDescent="0.35">
      <c r="D186" s="8" t="str">
        <f>D159</f>
        <v>Interest rate</v>
      </c>
      <c r="E186" s="81">
        <f>E159</f>
        <v>6.5000000000000002E-2</v>
      </c>
      <c r="K186" s="35">
        <f>$E186</f>
        <v>6.5000000000000002E-2</v>
      </c>
      <c r="L186" s="35">
        <f t="shared" ref="L186:AU186" si="255">$E186</f>
        <v>6.5000000000000002E-2</v>
      </c>
      <c r="M186" s="35">
        <f t="shared" si="255"/>
        <v>6.5000000000000002E-2</v>
      </c>
      <c r="N186" s="35">
        <f t="shared" si="255"/>
        <v>6.5000000000000002E-2</v>
      </c>
      <c r="O186" s="35">
        <f t="shared" si="255"/>
        <v>6.5000000000000002E-2</v>
      </c>
      <c r="P186" s="35">
        <f t="shared" si="255"/>
        <v>6.5000000000000002E-2</v>
      </c>
      <c r="Q186" s="35">
        <f t="shared" si="255"/>
        <v>6.5000000000000002E-2</v>
      </c>
      <c r="R186" s="35">
        <f t="shared" si="255"/>
        <v>6.5000000000000002E-2</v>
      </c>
      <c r="S186" s="35">
        <f t="shared" si="255"/>
        <v>6.5000000000000002E-2</v>
      </c>
      <c r="T186" s="35">
        <f t="shared" si="255"/>
        <v>6.5000000000000002E-2</v>
      </c>
      <c r="U186" s="35">
        <f t="shared" si="255"/>
        <v>6.5000000000000002E-2</v>
      </c>
      <c r="V186" s="35">
        <f t="shared" si="255"/>
        <v>6.5000000000000002E-2</v>
      </c>
      <c r="W186" s="35">
        <f t="shared" si="255"/>
        <v>6.5000000000000002E-2</v>
      </c>
      <c r="X186" s="35">
        <f t="shared" si="255"/>
        <v>6.5000000000000002E-2</v>
      </c>
      <c r="Y186" s="35">
        <f t="shared" si="255"/>
        <v>6.5000000000000002E-2</v>
      </c>
      <c r="Z186" s="35">
        <f t="shared" si="255"/>
        <v>6.5000000000000002E-2</v>
      </c>
      <c r="AA186" s="35">
        <f t="shared" si="255"/>
        <v>6.5000000000000002E-2</v>
      </c>
      <c r="AB186" s="35">
        <f t="shared" si="255"/>
        <v>6.5000000000000002E-2</v>
      </c>
      <c r="AC186" s="35">
        <f t="shared" si="255"/>
        <v>6.5000000000000002E-2</v>
      </c>
      <c r="AD186" s="35">
        <f t="shared" si="255"/>
        <v>6.5000000000000002E-2</v>
      </c>
      <c r="AE186" s="35">
        <f t="shared" si="255"/>
        <v>6.5000000000000002E-2</v>
      </c>
      <c r="AF186" s="35">
        <f t="shared" si="255"/>
        <v>6.5000000000000002E-2</v>
      </c>
      <c r="AG186" s="35">
        <f t="shared" si="255"/>
        <v>6.5000000000000002E-2</v>
      </c>
      <c r="AH186" s="35">
        <f t="shared" si="255"/>
        <v>6.5000000000000002E-2</v>
      </c>
      <c r="AI186" s="35">
        <f t="shared" si="255"/>
        <v>6.5000000000000002E-2</v>
      </c>
      <c r="AJ186" s="35">
        <f t="shared" si="255"/>
        <v>6.5000000000000002E-2</v>
      </c>
      <c r="AK186" s="35">
        <f t="shared" si="255"/>
        <v>6.5000000000000002E-2</v>
      </c>
      <c r="AL186" s="35">
        <f t="shared" si="255"/>
        <v>6.5000000000000002E-2</v>
      </c>
      <c r="AM186" s="35">
        <f t="shared" si="255"/>
        <v>6.5000000000000002E-2</v>
      </c>
      <c r="AN186" s="35">
        <f t="shared" si="255"/>
        <v>6.5000000000000002E-2</v>
      </c>
      <c r="AO186" s="35">
        <f t="shared" si="255"/>
        <v>6.5000000000000002E-2</v>
      </c>
      <c r="AP186" s="35">
        <f t="shared" si="255"/>
        <v>6.5000000000000002E-2</v>
      </c>
      <c r="AQ186" s="35">
        <f t="shared" si="255"/>
        <v>6.5000000000000002E-2</v>
      </c>
      <c r="AR186" s="35">
        <f t="shared" si="255"/>
        <v>6.5000000000000002E-2</v>
      </c>
      <c r="AS186" s="35">
        <f t="shared" si="255"/>
        <v>6.5000000000000002E-2</v>
      </c>
      <c r="AT186" s="35">
        <f t="shared" si="255"/>
        <v>6.5000000000000002E-2</v>
      </c>
      <c r="AU186" s="35">
        <f t="shared" si="255"/>
        <v>6.5000000000000002E-2</v>
      </c>
    </row>
    <row r="187" spans="2:47" x14ac:dyDescent="0.35">
      <c r="D187" s="2" t="s">
        <v>86</v>
      </c>
      <c r="J187" s="24"/>
      <c r="K187" s="108">
        <f t="shared" ref="K187:AU187" si="256">IF(K139=0, 1, J187*(1+K186))</f>
        <v>1</v>
      </c>
      <c r="L187" s="108">
        <f t="shared" si="256"/>
        <v>1.0649999999999999</v>
      </c>
      <c r="M187" s="108">
        <f t="shared" si="256"/>
        <v>1.1342249999999998</v>
      </c>
      <c r="N187" s="108">
        <f t="shared" si="256"/>
        <v>1.2079496249999997</v>
      </c>
      <c r="O187" s="108">
        <f t="shared" si="256"/>
        <v>1.2864663506249996</v>
      </c>
      <c r="P187" s="108">
        <f t="shared" si="256"/>
        <v>1.3700866634156246</v>
      </c>
      <c r="Q187" s="108">
        <f t="shared" si="256"/>
        <v>1.4591422965376402</v>
      </c>
      <c r="R187" s="108">
        <f t="shared" si="256"/>
        <v>1.5539865458125868</v>
      </c>
      <c r="S187" s="108">
        <f t="shared" si="256"/>
        <v>1.6549956712904048</v>
      </c>
      <c r="T187" s="108">
        <f t="shared" si="256"/>
        <v>1.7625703899242811</v>
      </c>
      <c r="U187" s="108">
        <f t="shared" si="256"/>
        <v>1.8771374652693593</v>
      </c>
      <c r="V187" s="108">
        <f t="shared" si="256"/>
        <v>1.9991514005118676</v>
      </c>
      <c r="W187" s="108">
        <f t="shared" si="256"/>
        <v>2.1290962415451387</v>
      </c>
      <c r="X187" s="108">
        <f t="shared" si="256"/>
        <v>2.2674874972455727</v>
      </c>
      <c r="Y187" s="108">
        <f t="shared" si="256"/>
        <v>2.4148741845665347</v>
      </c>
      <c r="Z187" s="108">
        <f t="shared" si="256"/>
        <v>2.5718410065633592</v>
      </c>
      <c r="AA187" s="108">
        <f t="shared" si="256"/>
        <v>2.7390106719899774</v>
      </c>
      <c r="AB187" s="108">
        <f t="shared" si="256"/>
        <v>2.917046365669326</v>
      </c>
      <c r="AC187" s="108">
        <f t="shared" si="256"/>
        <v>3.1066543794378321</v>
      </c>
      <c r="AD187" s="108">
        <f t="shared" si="256"/>
        <v>3.3085869141012911</v>
      </c>
      <c r="AE187" s="108">
        <f t="shared" si="256"/>
        <v>3.5236450635178751</v>
      </c>
      <c r="AF187" s="108">
        <f t="shared" si="256"/>
        <v>3.7526819926465369</v>
      </c>
      <c r="AG187" s="108">
        <f t="shared" si="256"/>
        <v>3.9966063221685615</v>
      </c>
      <c r="AH187" s="108">
        <f t="shared" si="256"/>
        <v>4.2563857331095178</v>
      </c>
      <c r="AI187" s="108">
        <f t="shared" si="256"/>
        <v>4.5330508057616363</v>
      </c>
      <c r="AJ187" s="108">
        <f t="shared" si="256"/>
        <v>4.8276991081361427</v>
      </c>
      <c r="AK187" s="108">
        <f t="shared" si="256"/>
        <v>1</v>
      </c>
      <c r="AL187" s="108">
        <f t="shared" si="256"/>
        <v>1</v>
      </c>
      <c r="AM187" s="108">
        <f t="shared" si="256"/>
        <v>1</v>
      </c>
      <c r="AN187" s="108">
        <f t="shared" si="256"/>
        <v>1</v>
      </c>
      <c r="AO187" s="108">
        <f t="shared" si="256"/>
        <v>1</v>
      </c>
      <c r="AP187" s="108">
        <f t="shared" si="256"/>
        <v>1</v>
      </c>
      <c r="AQ187" s="108">
        <f t="shared" si="256"/>
        <v>1</v>
      </c>
      <c r="AR187" s="108">
        <f t="shared" si="256"/>
        <v>1</v>
      </c>
      <c r="AS187" s="108">
        <f t="shared" si="256"/>
        <v>1</v>
      </c>
      <c r="AT187" s="108">
        <f t="shared" si="256"/>
        <v>1</v>
      </c>
      <c r="AU187" s="108">
        <f t="shared" si="256"/>
        <v>1</v>
      </c>
    </row>
    <row r="188" spans="2:47" x14ac:dyDescent="0.35">
      <c r="D188" s="2" t="s">
        <v>87</v>
      </c>
      <c r="E188" s="61">
        <f ca="1">J188</f>
        <v>162096036.52288336</v>
      </c>
      <c r="J188" s="87">
        <f ca="1">SUM(K188:AU188)</f>
        <v>162096036.52288336</v>
      </c>
      <c r="K188" s="38">
        <f ca="1">K184/K187</f>
        <v>0</v>
      </c>
      <c r="L188" s="38">
        <f t="shared" ref="L188:AU188" ca="1" si="257">L184/L187</f>
        <v>14024628.322564486</v>
      </c>
      <c r="M188" s="38">
        <f t="shared" ca="1" si="257"/>
        <v>13070365.111366777</v>
      </c>
      <c r="N188" s="38">
        <f t="shared" ca="1" si="257"/>
        <v>12179152.901574947</v>
      </c>
      <c r="O188" s="38">
        <f t="shared" ca="1" si="257"/>
        <v>11346876.811374348</v>
      </c>
      <c r="P188" s="38">
        <f t="shared" ca="1" si="257"/>
        <v>10648569.158096019</v>
      </c>
      <c r="Q188" s="38">
        <f t="shared" ca="1" si="257"/>
        <v>9918058.6679120995</v>
      </c>
      <c r="R188" s="38">
        <f t="shared" ca="1" si="257"/>
        <v>9235969.5825524926</v>
      </c>
      <c r="S188" s="38">
        <f t="shared" ca="1" si="257"/>
        <v>8599138.946598582</v>
      </c>
      <c r="T188" s="38">
        <f t="shared" ca="1" si="257"/>
        <v>8004609.3156808633</v>
      </c>
      <c r="U188" s="38">
        <f t="shared" ca="1" si="257"/>
        <v>7449615.4155344376</v>
      </c>
      <c r="V188" s="38">
        <f t="shared" ca="1" si="257"/>
        <v>5896466.0309322914</v>
      </c>
      <c r="W188" s="38">
        <f t="shared" ca="1" si="257"/>
        <v>5589935.1682166448</v>
      </c>
      <c r="X188" s="38">
        <f t="shared" ca="1" si="257"/>
        <v>5298918.9615896847</v>
      </c>
      <c r="Y188" s="38">
        <f t="shared" ca="1" si="257"/>
        <v>5022646.4491628101</v>
      </c>
      <c r="Z188" s="38">
        <f t="shared" ca="1" si="257"/>
        <v>4760384.4811514299</v>
      </c>
      <c r="AA188" s="38">
        <f t="shared" ca="1" si="257"/>
        <v>4511435.8831057632</v>
      </c>
      <c r="AB188" s="38">
        <f t="shared" ca="1" si="257"/>
        <v>4275137.7077259189</v>
      </c>
      <c r="AC188" s="38">
        <f t="shared" ca="1" si="257"/>
        <v>4050859.5710122054</v>
      </c>
      <c r="AD188" s="38">
        <f t="shared" ca="1" si="257"/>
        <v>3838002.0687046135</v>
      </c>
      <c r="AE188" s="38">
        <f t="shared" ca="1" si="257"/>
        <v>3530044.0044474369</v>
      </c>
      <c r="AF188" s="38">
        <f t="shared" ca="1" si="257"/>
        <v>2411008.0952924378</v>
      </c>
      <c r="AG188" s="38">
        <f t="shared" ca="1" si="257"/>
        <v>2283675.0145915239</v>
      </c>
      <c r="AH188" s="38">
        <f t="shared" ca="1" si="257"/>
        <v>2162854.5539927147</v>
      </c>
      <c r="AI188" s="38">
        <f t="shared" ca="1" si="257"/>
        <v>2048220.7175630154</v>
      </c>
      <c r="AJ188" s="38">
        <f t="shared" ca="1" si="257"/>
        <v>1939463.582139876</v>
      </c>
      <c r="AK188" s="38">
        <f t="shared" ca="1" si="257"/>
        <v>0</v>
      </c>
      <c r="AL188" s="38">
        <f t="shared" ca="1" si="257"/>
        <v>0</v>
      </c>
      <c r="AM188" s="38">
        <f t="shared" ca="1" si="257"/>
        <v>0</v>
      </c>
      <c r="AN188" s="38">
        <f t="shared" ca="1" si="257"/>
        <v>0</v>
      </c>
      <c r="AO188" s="38">
        <f t="shared" ca="1" si="257"/>
        <v>0</v>
      </c>
      <c r="AP188" s="38">
        <f t="shared" ca="1" si="257"/>
        <v>0</v>
      </c>
      <c r="AQ188" s="38">
        <f t="shared" ca="1" si="257"/>
        <v>0</v>
      </c>
      <c r="AR188" s="38">
        <f t="shared" ca="1" si="257"/>
        <v>0</v>
      </c>
      <c r="AS188" s="38">
        <f t="shared" ca="1" si="257"/>
        <v>0</v>
      </c>
      <c r="AT188" s="38">
        <f t="shared" ca="1" si="257"/>
        <v>0</v>
      </c>
      <c r="AU188" s="38">
        <f t="shared" ca="1" si="257"/>
        <v>0</v>
      </c>
    </row>
    <row r="189" spans="2:47" x14ac:dyDescent="0.35">
      <c r="D189" s="2" t="s">
        <v>88</v>
      </c>
      <c r="E189" s="61">
        <f>E152</f>
        <v>131825074.44346899</v>
      </c>
      <c r="J189" s="8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</row>
    <row r="190" spans="2:47" x14ac:dyDescent="0.35">
      <c r="D190" s="126" t="s">
        <v>89</v>
      </c>
      <c r="E190" s="165">
        <f ca="1">E188/E189</f>
        <v>1.2296297742080591</v>
      </c>
    </row>
    <row r="192" spans="2:47" x14ac:dyDescent="0.35">
      <c r="B192" s="1" t="s">
        <v>67</v>
      </c>
    </row>
    <row r="193" spans="1:47" x14ac:dyDescent="0.35">
      <c r="A193" s="1"/>
      <c r="C193" s="5" t="s">
        <v>69</v>
      </c>
    </row>
    <row r="194" spans="1:47" x14ac:dyDescent="0.35">
      <c r="A194" s="1"/>
      <c r="D194" s="8" t="str">
        <f>Input!D18</f>
        <v>Total EPC &amp; connection cost</v>
      </c>
      <c r="E194" s="17"/>
      <c r="I194" s="16" t="s">
        <v>114</v>
      </c>
      <c r="K194" s="38">
        <f t="shared" ref="K194:AU194" si="258">K65</f>
        <v>220000000</v>
      </c>
      <c r="L194" s="38">
        <f t="shared" si="258"/>
        <v>0</v>
      </c>
      <c r="M194" s="38">
        <f t="shared" si="258"/>
        <v>0</v>
      </c>
      <c r="N194" s="38">
        <f t="shared" si="258"/>
        <v>0</v>
      </c>
      <c r="O194" s="38">
        <f t="shared" si="258"/>
        <v>0</v>
      </c>
      <c r="P194" s="38">
        <f t="shared" si="258"/>
        <v>0</v>
      </c>
      <c r="Q194" s="38">
        <f t="shared" si="258"/>
        <v>0</v>
      </c>
      <c r="R194" s="38">
        <f t="shared" si="258"/>
        <v>0</v>
      </c>
      <c r="S194" s="38">
        <f t="shared" si="258"/>
        <v>0</v>
      </c>
      <c r="T194" s="38">
        <f t="shared" si="258"/>
        <v>0</v>
      </c>
      <c r="U194" s="38">
        <f t="shared" si="258"/>
        <v>0</v>
      </c>
      <c r="V194" s="38">
        <f t="shared" si="258"/>
        <v>0</v>
      </c>
      <c r="W194" s="38">
        <f t="shared" si="258"/>
        <v>0</v>
      </c>
      <c r="X194" s="38">
        <f t="shared" si="258"/>
        <v>0</v>
      </c>
      <c r="Y194" s="38">
        <f t="shared" si="258"/>
        <v>0</v>
      </c>
      <c r="Z194" s="38">
        <f t="shared" si="258"/>
        <v>0</v>
      </c>
      <c r="AA194" s="38">
        <f t="shared" si="258"/>
        <v>0</v>
      </c>
      <c r="AB194" s="38">
        <f t="shared" si="258"/>
        <v>0</v>
      </c>
      <c r="AC194" s="38">
        <f t="shared" si="258"/>
        <v>0</v>
      </c>
      <c r="AD194" s="38">
        <f t="shared" si="258"/>
        <v>0</v>
      </c>
      <c r="AE194" s="38">
        <f t="shared" si="258"/>
        <v>0</v>
      </c>
      <c r="AF194" s="38">
        <f t="shared" si="258"/>
        <v>0</v>
      </c>
      <c r="AG194" s="38">
        <f t="shared" si="258"/>
        <v>0</v>
      </c>
      <c r="AH194" s="38">
        <f t="shared" si="258"/>
        <v>0</v>
      </c>
      <c r="AI194" s="38">
        <f t="shared" si="258"/>
        <v>0</v>
      </c>
      <c r="AJ194" s="38">
        <f t="shared" si="258"/>
        <v>0</v>
      </c>
      <c r="AK194" s="38">
        <f t="shared" si="258"/>
        <v>0</v>
      </c>
      <c r="AL194" s="38">
        <f t="shared" si="258"/>
        <v>0</v>
      </c>
      <c r="AM194" s="38">
        <f t="shared" si="258"/>
        <v>0</v>
      </c>
      <c r="AN194" s="38">
        <f t="shared" si="258"/>
        <v>0</v>
      </c>
      <c r="AO194" s="38">
        <f t="shared" si="258"/>
        <v>0</v>
      </c>
      <c r="AP194" s="38">
        <f t="shared" si="258"/>
        <v>0</v>
      </c>
      <c r="AQ194" s="38">
        <f t="shared" si="258"/>
        <v>0</v>
      </c>
      <c r="AR194" s="38">
        <f t="shared" si="258"/>
        <v>0</v>
      </c>
      <c r="AS194" s="38">
        <f t="shared" si="258"/>
        <v>0</v>
      </c>
      <c r="AT194" s="38">
        <f t="shared" si="258"/>
        <v>0</v>
      </c>
      <c r="AU194" s="38">
        <f t="shared" si="258"/>
        <v>0</v>
      </c>
    </row>
    <row r="195" spans="1:47" x14ac:dyDescent="0.35">
      <c r="A195" s="1"/>
      <c r="D195" s="8" t="str">
        <f>D70</f>
        <v>Interest during construction</v>
      </c>
      <c r="E195" s="17"/>
      <c r="I195" s="16" t="s">
        <v>114</v>
      </c>
      <c r="K195" s="38">
        <f t="shared" ref="K195:AU195" si="259">K70</f>
        <v>8568629.8388254847</v>
      </c>
      <c r="L195" s="38">
        <f t="shared" si="259"/>
        <v>0</v>
      </c>
      <c r="M195" s="38">
        <f t="shared" si="259"/>
        <v>0</v>
      </c>
      <c r="N195" s="38">
        <f t="shared" si="259"/>
        <v>0</v>
      </c>
      <c r="O195" s="38">
        <f t="shared" si="259"/>
        <v>0</v>
      </c>
      <c r="P195" s="38">
        <f t="shared" si="259"/>
        <v>0</v>
      </c>
      <c r="Q195" s="38">
        <f t="shared" si="259"/>
        <v>0</v>
      </c>
      <c r="R195" s="38">
        <f t="shared" si="259"/>
        <v>0</v>
      </c>
      <c r="S195" s="38">
        <f t="shared" si="259"/>
        <v>0</v>
      </c>
      <c r="T195" s="38">
        <f t="shared" si="259"/>
        <v>0</v>
      </c>
      <c r="U195" s="38">
        <f t="shared" si="259"/>
        <v>0</v>
      </c>
      <c r="V195" s="38">
        <f t="shared" si="259"/>
        <v>0</v>
      </c>
      <c r="W195" s="38">
        <f t="shared" si="259"/>
        <v>0</v>
      </c>
      <c r="X195" s="38">
        <f t="shared" si="259"/>
        <v>0</v>
      </c>
      <c r="Y195" s="38">
        <f t="shared" si="259"/>
        <v>0</v>
      </c>
      <c r="Z195" s="38">
        <f t="shared" si="259"/>
        <v>0</v>
      </c>
      <c r="AA195" s="38">
        <f t="shared" si="259"/>
        <v>0</v>
      </c>
      <c r="AB195" s="38">
        <f t="shared" si="259"/>
        <v>0</v>
      </c>
      <c r="AC195" s="38">
        <f t="shared" si="259"/>
        <v>0</v>
      </c>
      <c r="AD195" s="38">
        <f t="shared" si="259"/>
        <v>0</v>
      </c>
      <c r="AE195" s="38">
        <f t="shared" si="259"/>
        <v>0</v>
      </c>
      <c r="AF195" s="38">
        <f t="shared" si="259"/>
        <v>0</v>
      </c>
      <c r="AG195" s="38">
        <f t="shared" si="259"/>
        <v>0</v>
      </c>
      <c r="AH195" s="38">
        <f t="shared" si="259"/>
        <v>0</v>
      </c>
      <c r="AI195" s="38">
        <f t="shared" si="259"/>
        <v>0</v>
      </c>
      <c r="AJ195" s="38">
        <f t="shared" si="259"/>
        <v>0</v>
      </c>
      <c r="AK195" s="38">
        <f t="shared" si="259"/>
        <v>0</v>
      </c>
      <c r="AL195" s="38">
        <f t="shared" si="259"/>
        <v>0</v>
      </c>
      <c r="AM195" s="38">
        <f t="shared" si="259"/>
        <v>0</v>
      </c>
      <c r="AN195" s="38">
        <f t="shared" si="259"/>
        <v>0</v>
      </c>
      <c r="AO195" s="38">
        <f t="shared" si="259"/>
        <v>0</v>
      </c>
      <c r="AP195" s="38">
        <f t="shared" si="259"/>
        <v>0</v>
      </c>
      <c r="AQ195" s="38">
        <f t="shared" si="259"/>
        <v>0</v>
      </c>
      <c r="AR195" s="38">
        <f t="shared" si="259"/>
        <v>0</v>
      </c>
      <c r="AS195" s="38">
        <f t="shared" si="259"/>
        <v>0</v>
      </c>
      <c r="AT195" s="38">
        <f t="shared" si="259"/>
        <v>0</v>
      </c>
      <c r="AU195" s="38">
        <f t="shared" si="259"/>
        <v>0</v>
      </c>
    </row>
    <row r="196" spans="1:47" x14ac:dyDescent="0.35">
      <c r="A196" s="1"/>
      <c r="D196" s="3" t="s">
        <v>77</v>
      </c>
      <c r="E196" s="23"/>
      <c r="F196" s="23"/>
      <c r="G196" s="23"/>
      <c r="H196" s="23"/>
      <c r="I196" s="23" t="s">
        <v>114</v>
      </c>
      <c r="J196" s="23"/>
      <c r="K196" s="40">
        <f>SUM(K194:K195)</f>
        <v>228568629.83882549</v>
      </c>
      <c r="L196" s="40">
        <f t="shared" ref="L196:AU196" si="260">SUM(L194:L194)</f>
        <v>0</v>
      </c>
      <c r="M196" s="40">
        <f t="shared" si="260"/>
        <v>0</v>
      </c>
      <c r="N196" s="40">
        <f t="shared" si="260"/>
        <v>0</v>
      </c>
      <c r="O196" s="40">
        <f t="shared" si="260"/>
        <v>0</v>
      </c>
      <c r="P196" s="40">
        <f t="shared" si="260"/>
        <v>0</v>
      </c>
      <c r="Q196" s="40">
        <f t="shared" si="260"/>
        <v>0</v>
      </c>
      <c r="R196" s="40">
        <f t="shared" si="260"/>
        <v>0</v>
      </c>
      <c r="S196" s="40">
        <f t="shared" si="260"/>
        <v>0</v>
      </c>
      <c r="T196" s="40">
        <f t="shared" si="260"/>
        <v>0</v>
      </c>
      <c r="U196" s="40">
        <f t="shared" si="260"/>
        <v>0</v>
      </c>
      <c r="V196" s="40">
        <f t="shared" si="260"/>
        <v>0</v>
      </c>
      <c r="W196" s="40">
        <f t="shared" si="260"/>
        <v>0</v>
      </c>
      <c r="X196" s="40">
        <f t="shared" si="260"/>
        <v>0</v>
      </c>
      <c r="Y196" s="40">
        <f t="shared" si="260"/>
        <v>0</v>
      </c>
      <c r="Z196" s="40">
        <f t="shared" si="260"/>
        <v>0</v>
      </c>
      <c r="AA196" s="40">
        <f t="shared" si="260"/>
        <v>0</v>
      </c>
      <c r="AB196" s="40">
        <f t="shared" si="260"/>
        <v>0</v>
      </c>
      <c r="AC196" s="40">
        <f t="shared" si="260"/>
        <v>0</v>
      </c>
      <c r="AD196" s="40">
        <f t="shared" si="260"/>
        <v>0</v>
      </c>
      <c r="AE196" s="40">
        <f t="shared" si="260"/>
        <v>0</v>
      </c>
      <c r="AF196" s="40">
        <f t="shared" si="260"/>
        <v>0</v>
      </c>
      <c r="AG196" s="40">
        <f t="shared" si="260"/>
        <v>0</v>
      </c>
      <c r="AH196" s="40">
        <f t="shared" si="260"/>
        <v>0</v>
      </c>
      <c r="AI196" s="40">
        <f t="shared" si="260"/>
        <v>0</v>
      </c>
      <c r="AJ196" s="40">
        <f t="shared" si="260"/>
        <v>0</v>
      </c>
      <c r="AK196" s="40">
        <f t="shared" si="260"/>
        <v>0</v>
      </c>
      <c r="AL196" s="40">
        <f t="shared" si="260"/>
        <v>0</v>
      </c>
      <c r="AM196" s="40">
        <f t="shared" si="260"/>
        <v>0</v>
      </c>
      <c r="AN196" s="40">
        <f t="shared" si="260"/>
        <v>0</v>
      </c>
      <c r="AO196" s="40">
        <f t="shared" si="260"/>
        <v>0</v>
      </c>
      <c r="AP196" s="40">
        <f t="shared" si="260"/>
        <v>0</v>
      </c>
      <c r="AQ196" s="40">
        <f t="shared" si="260"/>
        <v>0</v>
      </c>
      <c r="AR196" s="40">
        <f t="shared" si="260"/>
        <v>0</v>
      </c>
      <c r="AS196" s="40">
        <f t="shared" si="260"/>
        <v>0</v>
      </c>
      <c r="AT196" s="40">
        <f t="shared" si="260"/>
        <v>0</v>
      </c>
      <c r="AU196" s="40">
        <f t="shared" si="260"/>
        <v>0</v>
      </c>
    </row>
    <row r="197" spans="1:47" x14ac:dyDescent="0.35">
      <c r="A197" s="1"/>
    </row>
    <row r="198" spans="1:47" x14ac:dyDescent="0.35">
      <c r="A198" s="1"/>
      <c r="C198" s="5" t="s">
        <v>68</v>
      </c>
    </row>
    <row r="199" spans="1:47" x14ac:dyDescent="0.35">
      <c r="A199" s="1"/>
      <c r="D199" s="2" t="s">
        <v>150</v>
      </c>
      <c r="E199" s="103">
        <f>K199/K201</f>
        <v>0.57674176257881515</v>
      </c>
      <c r="I199" s="16" t="s">
        <v>114</v>
      </c>
      <c r="K199" s="38">
        <f t="shared" ref="K199:AU199" si="261">K152</f>
        <v>131825074.44346899</v>
      </c>
      <c r="L199" s="38">
        <f t="shared" si="261"/>
        <v>0</v>
      </c>
      <c r="M199" s="38">
        <f t="shared" si="261"/>
        <v>0</v>
      </c>
      <c r="N199" s="38">
        <f t="shared" si="261"/>
        <v>0</v>
      </c>
      <c r="O199" s="38">
        <f t="shared" si="261"/>
        <v>0</v>
      </c>
      <c r="P199" s="38">
        <f t="shared" si="261"/>
        <v>0</v>
      </c>
      <c r="Q199" s="38">
        <f t="shared" si="261"/>
        <v>0</v>
      </c>
      <c r="R199" s="38">
        <f t="shared" si="261"/>
        <v>0</v>
      </c>
      <c r="S199" s="38">
        <f t="shared" si="261"/>
        <v>0</v>
      </c>
      <c r="T199" s="38">
        <f t="shared" si="261"/>
        <v>0</v>
      </c>
      <c r="U199" s="38">
        <f t="shared" si="261"/>
        <v>0</v>
      </c>
      <c r="V199" s="38">
        <f t="shared" si="261"/>
        <v>0</v>
      </c>
      <c r="W199" s="38">
        <f t="shared" si="261"/>
        <v>0</v>
      </c>
      <c r="X199" s="38">
        <f t="shared" si="261"/>
        <v>0</v>
      </c>
      <c r="Y199" s="38">
        <f t="shared" si="261"/>
        <v>0</v>
      </c>
      <c r="Z199" s="38">
        <f t="shared" si="261"/>
        <v>0</v>
      </c>
      <c r="AA199" s="38">
        <f t="shared" si="261"/>
        <v>0</v>
      </c>
      <c r="AB199" s="38">
        <f t="shared" si="261"/>
        <v>0</v>
      </c>
      <c r="AC199" s="38">
        <f t="shared" si="261"/>
        <v>0</v>
      </c>
      <c r="AD199" s="38">
        <f t="shared" si="261"/>
        <v>0</v>
      </c>
      <c r="AE199" s="38">
        <f t="shared" si="261"/>
        <v>0</v>
      </c>
      <c r="AF199" s="38">
        <f t="shared" si="261"/>
        <v>0</v>
      </c>
      <c r="AG199" s="38">
        <f t="shared" si="261"/>
        <v>0</v>
      </c>
      <c r="AH199" s="38">
        <f t="shared" si="261"/>
        <v>0</v>
      </c>
      <c r="AI199" s="38">
        <f t="shared" si="261"/>
        <v>0</v>
      </c>
      <c r="AJ199" s="38">
        <f t="shared" si="261"/>
        <v>0</v>
      </c>
      <c r="AK199" s="38">
        <f t="shared" si="261"/>
        <v>0</v>
      </c>
      <c r="AL199" s="38">
        <f t="shared" si="261"/>
        <v>0</v>
      </c>
      <c r="AM199" s="38">
        <f t="shared" si="261"/>
        <v>0</v>
      </c>
      <c r="AN199" s="38">
        <f t="shared" si="261"/>
        <v>0</v>
      </c>
      <c r="AO199" s="38">
        <f t="shared" si="261"/>
        <v>0</v>
      </c>
      <c r="AP199" s="38">
        <f t="shared" si="261"/>
        <v>0</v>
      </c>
      <c r="AQ199" s="38">
        <f t="shared" si="261"/>
        <v>0</v>
      </c>
      <c r="AR199" s="38">
        <f t="shared" si="261"/>
        <v>0</v>
      </c>
      <c r="AS199" s="38">
        <f t="shared" si="261"/>
        <v>0</v>
      </c>
      <c r="AT199" s="38">
        <f t="shared" si="261"/>
        <v>0</v>
      </c>
      <c r="AU199" s="38">
        <f t="shared" si="261"/>
        <v>0</v>
      </c>
    </row>
    <row r="200" spans="1:47" x14ac:dyDescent="0.35">
      <c r="A200" s="1"/>
      <c r="D200" s="2" t="s">
        <v>74</v>
      </c>
      <c r="E200" s="103">
        <f>1-E199</f>
        <v>0.42325823742118485</v>
      </c>
      <c r="I200" s="16" t="s">
        <v>114</v>
      </c>
      <c r="K200" s="38">
        <f t="shared" ref="K200" si="262">K196-K199</f>
        <v>96743555.395356506</v>
      </c>
      <c r="L200" s="38">
        <f t="shared" ref="L200" si="263">L196-L199</f>
        <v>0</v>
      </c>
      <c r="M200" s="38">
        <f t="shared" ref="M200" si="264">M196-M199</f>
        <v>0</v>
      </c>
      <c r="N200" s="38">
        <f t="shared" ref="N200" si="265">N196-N199</f>
        <v>0</v>
      </c>
      <c r="O200" s="38">
        <f t="shared" ref="O200" si="266">O196-O199</f>
        <v>0</v>
      </c>
      <c r="P200" s="38">
        <f t="shared" ref="P200" si="267">P196-P199</f>
        <v>0</v>
      </c>
      <c r="Q200" s="38">
        <f t="shared" ref="Q200" si="268">Q196-Q199</f>
        <v>0</v>
      </c>
      <c r="R200" s="38">
        <f t="shared" ref="R200" si="269">R196-R199</f>
        <v>0</v>
      </c>
      <c r="S200" s="38">
        <f t="shared" ref="S200" si="270">S196-S199</f>
        <v>0</v>
      </c>
      <c r="T200" s="38">
        <f t="shared" ref="T200" si="271">T196-T199</f>
        <v>0</v>
      </c>
      <c r="U200" s="38">
        <f t="shared" ref="U200" si="272">U196-U199</f>
        <v>0</v>
      </c>
      <c r="V200" s="38">
        <f t="shared" ref="V200" si="273">V196-V199</f>
        <v>0</v>
      </c>
      <c r="W200" s="38">
        <f t="shared" ref="W200" si="274">W196-W199</f>
        <v>0</v>
      </c>
      <c r="X200" s="38">
        <f t="shared" ref="X200" si="275">X196-X199</f>
        <v>0</v>
      </c>
      <c r="Y200" s="38">
        <f t="shared" ref="Y200" si="276">Y196-Y199</f>
        <v>0</v>
      </c>
      <c r="Z200" s="38">
        <f t="shared" ref="Z200" si="277">Z196-Z199</f>
        <v>0</v>
      </c>
      <c r="AA200" s="38">
        <f t="shared" ref="AA200" si="278">AA196-AA199</f>
        <v>0</v>
      </c>
      <c r="AB200" s="38">
        <f t="shared" ref="AB200" si="279">AB196-AB199</f>
        <v>0</v>
      </c>
      <c r="AC200" s="38">
        <f t="shared" ref="AC200" si="280">AC196-AC199</f>
        <v>0</v>
      </c>
      <c r="AD200" s="38">
        <f t="shared" ref="AD200" si="281">AD196-AD199</f>
        <v>0</v>
      </c>
      <c r="AE200" s="38">
        <f t="shared" ref="AE200" si="282">AE196-AE199</f>
        <v>0</v>
      </c>
      <c r="AF200" s="38">
        <f t="shared" ref="AF200" si="283">AF196-AF199</f>
        <v>0</v>
      </c>
      <c r="AG200" s="38">
        <f t="shared" ref="AG200" si="284">AG196-AG199</f>
        <v>0</v>
      </c>
      <c r="AH200" s="38">
        <f t="shared" ref="AH200" si="285">AH196-AH199</f>
        <v>0</v>
      </c>
      <c r="AI200" s="38">
        <f t="shared" ref="AI200" si="286">AI196-AI199</f>
        <v>0</v>
      </c>
      <c r="AJ200" s="38">
        <f t="shared" ref="AJ200" si="287">AJ196-AJ199</f>
        <v>0</v>
      </c>
      <c r="AK200" s="38">
        <f t="shared" ref="AK200" si="288">AK196-AK199</f>
        <v>0</v>
      </c>
      <c r="AL200" s="38">
        <f t="shared" ref="AL200" si="289">AL196-AL199</f>
        <v>0</v>
      </c>
      <c r="AM200" s="38">
        <f t="shared" ref="AM200" si="290">AM196-AM199</f>
        <v>0</v>
      </c>
      <c r="AN200" s="38">
        <f t="shared" ref="AN200" si="291">AN196-AN199</f>
        <v>0</v>
      </c>
      <c r="AO200" s="38">
        <f t="shared" ref="AO200" si="292">AO196-AO199</f>
        <v>0</v>
      </c>
      <c r="AP200" s="38">
        <f t="shared" ref="AP200" si="293">AP196-AP199</f>
        <v>0</v>
      </c>
      <c r="AQ200" s="38">
        <f t="shared" ref="AQ200" si="294">AQ196-AQ199</f>
        <v>0</v>
      </c>
      <c r="AR200" s="38">
        <f t="shared" ref="AR200" si="295">AR196-AR199</f>
        <v>0</v>
      </c>
      <c r="AS200" s="38">
        <f t="shared" ref="AS200" si="296">AS196-AS199</f>
        <v>0</v>
      </c>
      <c r="AT200" s="38">
        <f t="shared" ref="AT200" si="297">AT196-AT199</f>
        <v>0</v>
      </c>
      <c r="AU200" s="38">
        <f t="shared" ref="AU200" si="298">AU196-AU199</f>
        <v>0</v>
      </c>
    </row>
    <row r="201" spans="1:47" x14ac:dyDescent="0.35">
      <c r="A201" s="1"/>
      <c r="D201" s="3" t="s">
        <v>78</v>
      </c>
      <c r="E201" s="23"/>
      <c r="F201" s="23"/>
      <c r="G201" s="23"/>
      <c r="H201" s="23"/>
      <c r="I201" s="23" t="s">
        <v>114</v>
      </c>
      <c r="J201" s="23"/>
      <c r="K201" s="40">
        <f>SUM(K199:K200)</f>
        <v>228568629.83882549</v>
      </c>
      <c r="L201" s="40">
        <f t="shared" ref="L201:AU201" si="299">SUM(L199:L200)</f>
        <v>0</v>
      </c>
      <c r="M201" s="40">
        <f t="shared" si="299"/>
        <v>0</v>
      </c>
      <c r="N201" s="40">
        <f t="shared" si="299"/>
        <v>0</v>
      </c>
      <c r="O201" s="40">
        <f t="shared" si="299"/>
        <v>0</v>
      </c>
      <c r="P201" s="40">
        <f t="shared" si="299"/>
        <v>0</v>
      </c>
      <c r="Q201" s="40">
        <f t="shared" si="299"/>
        <v>0</v>
      </c>
      <c r="R201" s="40">
        <f t="shared" si="299"/>
        <v>0</v>
      </c>
      <c r="S201" s="40">
        <f t="shared" si="299"/>
        <v>0</v>
      </c>
      <c r="T201" s="40">
        <f t="shared" si="299"/>
        <v>0</v>
      </c>
      <c r="U201" s="40">
        <f t="shared" si="299"/>
        <v>0</v>
      </c>
      <c r="V201" s="40">
        <f t="shared" si="299"/>
        <v>0</v>
      </c>
      <c r="W201" s="40">
        <f t="shared" si="299"/>
        <v>0</v>
      </c>
      <c r="X201" s="40">
        <f t="shared" si="299"/>
        <v>0</v>
      </c>
      <c r="Y201" s="40">
        <f t="shared" si="299"/>
        <v>0</v>
      </c>
      <c r="Z201" s="40">
        <f t="shared" si="299"/>
        <v>0</v>
      </c>
      <c r="AA201" s="40">
        <f t="shared" si="299"/>
        <v>0</v>
      </c>
      <c r="AB201" s="40">
        <f t="shared" si="299"/>
        <v>0</v>
      </c>
      <c r="AC201" s="40">
        <f t="shared" si="299"/>
        <v>0</v>
      </c>
      <c r="AD201" s="40">
        <f t="shared" si="299"/>
        <v>0</v>
      </c>
      <c r="AE201" s="40">
        <f t="shared" si="299"/>
        <v>0</v>
      </c>
      <c r="AF201" s="40">
        <f t="shared" si="299"/>
        <v>0</v>
      </c>
      <c r="AG201" s="40">
        <f t="shared" si="299"/>
        <v>0</v>
      </c>
      <c r="AH201" s="40">
        <f t="shared" si="299"/>
        <v>0</v>
      </c>
      <c r="AI201" s="40">
        <f t="shared" si="299"/>
        <v>0</v>
      </c>
      <c r="AJ201" s="40">
        <f t="shared" si="299"/>
        <v>0</v>
      </c>
      <c r="AK201" s="40">
        <f t="shared" si="299"/>
        <v>0</v>
      </c>
      <c r="AL201" s="40">
        <f t="shared" si="299"/>
        <v>0</v>
      </c>
      <c r="AM201" s="40">
        <f t="shared" si="299"/>
        <v>0</v>
      </c>
      <c r="AN201" s="40">
        <f t="shared" si="299"/>
        <v>0</v>
      </c>
      <c r="AO201" s="40">
        <f t="shared" si="299"/>
        <v>0</v>
      </c>
      <c r="AP201" s="40">
        <f t="shared" si="299"/>
        <v>0</v>
      </c>
      <c r="AQ201" s="40">
        <f t="shared" si="299"/>
        <v>0</v>
      </c>
      <c r="AR201" s="40">
        <f t="shared" si="299"/>
        <v>0</v>
      </c>
      <c r="AS201" s="40">
        <f t="shared" si="299"/>
        <v>0</v>
      </c>
      <c r="AT201" s="40">
        <f t="shared" si="299"/>
        <v>0</v>
      </c>
      <c r="AU201" s="40">
        <f t="shared" si="299"/>
        <v>0</v>
      </c>
    </row>
    <row r="202" spans="1:47" x14ac:dyDescent="0.35">
      <c r="A202" s="1"/>
    </row>
    <row r="203" spans="1:47" x14ac:dyDescent="0.35">
      <c r="A203" s="32" t="s">
        <v>211</v>
      </c>
      <c r="B203" s="32"/>
      <c r="C203" s="90"/>
      <c r="D203" s="33"/>
      <c r="E203" s="49"/>
      <c r="F203" s="49"/>
      <c r="G203" s="49"/>
      <c r="H203" s="49"/>
      <c r="I203" s="49"/>
      <c r="J203" s="49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</row>
    <row r="204" spans="1:47" x14ac:dyDescent="0.35">
      <c r="D204" s="38" t="s">
        <v>94</v>
      </c>
      <c r="I204" s="16" t="s">
        <v>114</v>
      </c>
      <c r="J204" s="61"/>
      <c r="K204" s="80">
        <v>0</v>
      </c>
      <c r="L204" s="38">
        <f>K224</f>
        <v>0</v>
      </c>
      <c r="M204" s="38">
        <f t="shared" ref="M204:AU204" si="300">L224</f>
        <v>0</v>
      </c>
      <c r="N204" s="38">
        <f t="shared" si="300"/>
        <v>0</v>
      </c>
      <c r="O204" s="38">
        <f t="shared" si="300"/>
        <v>0</v>
      </c>
      <c r="P204" s="38">
        <f t="shared" si="300"/>
        <v>0</v>
      </c>
      <c r="Q204" s="38">
        <f t="shared" si="300"/>
        <v>-96159873.244430721</v>
      </c>
      <c r="R204" s="38">
        <f t="shared" si="300"/>
        <v>-81688014.342538416</v>
      </c>
      <c r="S204" s="38">
        <f t="shared" si="300"/>
        <v>-67335441.873717546</v>
      </c>
      <c r="T204" s="38">
        <f t="shared" si="300"/>
        <v>-53103904.140272163</v>
      </c>
      <c r="U204" s="38">
        <f t="shared" si="300"/>
        <v>-38995216.777541012</v>
      </c>
      <c r="V204" s="38">
        <f t="shared" si="300"/>
        <v>-25011264.579193152</v>
      </c>
      <c r="W204" s="38">
        <f t="shared" si="300"/>
        <v>-13223336.255384209</v>
      </c>
      <c r="X204" s="38">
        <f t="shared" si="300"/>
        <v>-1321826.2982531581</v>
      </c>
      <c r="Y204" s="38">
        <f t="shared" si="300"/>
        <v>0</v>
      </c>
      <c r="Z204" s="38">
        <f t="shared" si="300"/>
        <v>0</v>
      </c>
      <c r="AA204" s="38">
        <f t="shared" si="300"/>
        <v>0</v>
      </c>
      <c r="AB204" s="38">
        <f t="shared" si="300"/>
        <v>0</v>
      </c>
      <c r="AC204" s="38">
        <f t="shared" si="300"/>
        <v>0</v>
      </c>
      <c r="AD204" s="38">
        <f t="shared" si="300"/>
        <v>0</v>
      </c>
      <c r="AE204" s="38">
        <f t="shared" si="300"/>
        <v>0</v>
      </c>
      <c r="AF204" s="38">
        <f t="shared" si="300"/>
        <v>0</v>
      </c>
      <c r="AG204" s="38">
        <f t="shared" si="300"/>
        <v>0</v>
      </c>
      <c r="AH204" s="38">
        <f t="shared" si="300"/>
        <v>0</v>
      </c>
      <c r="AI204" s="38">
        <f t="shared" si="300"/>
        <v>0</v>
      </c>
      <c r="AJ204" s="38">
        <f t="shared" si="300"/>
        <v>0</v>
      </c>
      <c r="AK204" s="38">
        <f t="shared" si="300"/>
        <v>0</v>
      </c>
      <c r="AL204" s="38">
        <f t="shared" si="300"/>
        <v>0</v>
      </c>
      <c r="AM204" s="38">
        <f t="shared" si="300"/>
        <v>0</v>
      </c>
      <c r="AN204" s="38">
        <f t="shared" si="300"/>
        <v>0</v>
      </c>
      <c r="AO204" s="38">
        <f t="shared" si="300"/>
        <v>0</v>
      </c>
      <c r="AP204" s="38">
        <f t="shared" si="300"/>
        <v>0</v>
      </c>
      <c r="AQ204" s="38">
        <f t="shared" si="300"/>
        <v>0</v>
      </c>
      <c r="AR204" s="38">
        <f t="shared" si="300"/>
        <v>0</v>
      </c>
      <c r="AS204" s="38">
        <f t="shared" si="300"/>
        <v>0</v>
      </c>
      <c r="AT204" s="38">
        <f t="shared" si="300"/>
        <v>0</v>
      </c>
      <c r="AU204" s="38">
        <f t="shared" si="300"/>
        <v>0</v>
      </c>
    </row>
    <row r="205" spans="1:47" x14ac:dyDescent="0.35">
      <c r="D205" s="8"/>
      <c r="J205" s="61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</row>
    <row r="206" spans="1:47" x14ac:dyDescent="0.35">
      <c r="D206" s="8" t="str">
        <f>D83</f>
        <v>EBITDA</v>
      </c>
      <c r="I206" s="16" t="s">
        <v>114</v>
      </c>
      <c r="J206" s="61">
        <f t="shared" ref="J206:J211" si="301">SUM(K206:AU206)</f>
        <v>473783665.93627751</v>
      </c>
      <c r="K206" s="38">
        <f t="shared" ref="K206:AU206" si="302">K83</f>
        <v>0</v>
      </c>
      <c r="L206" s="38">
        <f t="shared" si="302"/>
        <v>15044301.311999999</v>
      </c>
      <c r="M206" s="38">
        <f t="shared" si="302"/>
        <v>14932807.016908802</v>
      </c>
      <c r="N206" s="38">
        <f t="shared" si="302"/>
        <v>14819875.328743938</v>
      </c>
      <c r="O206" s="38">
        <f t="shared" si="302"/>
        <v>14705447.35098901</v>
      </c>
      <c r="P206" s="38">
        <f t="shared" si="302"/>
        <v>14589462.587966301</v>
      </c>
      <c r="Q206" s="38">
        <f t="shared" si="302"/>
        <v>14471858.90189231</v>
      </c>
      <c r="R206" s="38">
        <f t="shared" si="302"/>
        <v>14352572.468820866</v>
      </c>
      <c r="S206" s="38">
        <f t="shared" si="302"/>
        <v>14231537.733445384</v>
      </c>
      <c r="T206" s="38">
        <f t="shared" si="302"/>
        <v>14108687.362731151</v>
      </c>
      <c r="U206" s="38">
        <f t="shared" si="302"/>
        <v>13983952.198347859</v>
      </c>
      <c r="V206" s="38">
        <f t="shared" si="302"/>
        <v>11787928.323808944</v>
      </c>
      <c r="W206" s="38">
        <f t="shared" si="302"/>
        <v>11901509.957131051</v>
      </c>
      <c r="X206" s="38">
        <f t="shared" si="302"/>
        <v>12015232.494322103</v>
      </c>
      <c r="Y206" s="38">
        <f t="shared" si="302"/>
        <v>12129059.248288043</v>
      </c>
      <c r="Z206" s="38">
        <f t="shared" si="302"/>
        <v>12242952.015633088</v>
      </c>
      <c r="AA206" s="38">
        <f t="shared" si="302"/>
        <v>12356871.029825214</v>
      </c>
      <c r="AB206" s="38">
        <f t="shared" si="302"/>
        <v>12470774.913057785</v>
      </c>
      <c r="AC206" s="38">
        <f t="shared" si="302"/>
        <v>12584620.626772726</v>
      </c>
      <c r="AD206" s="38">
        <f t="shared" si="302"/>
        <v>12698363.420809768</v>
      </c>
      <c r="AE206" s="38">
        <f t="shared" si="302"/>
        <v>12811956.781145427</v>
      </c>
      <c r="AF206" s="38">
        <f t="shared" si="302"/>
        <v>12925352.376184225</v>
      </c>
      <c r="AG206" s="38">
        <f t="shared" si="302"/>
        <v>13038500.001564095</v>
      </c>
      <c r="AH206" s="38">
        <f t="shared" si="302"/>
        <v>13151347.523436485</v>
      </c>
      <c r="AI206" s="38">
        <f t="shared" si="302"/>
        <v>13263840.820181005</v>
      </c>
      <c r="AJ206" s="38">
        <f t="shared" si="302"/>
        <v>13375923.722513154</v>
      </c>
      <c r="AK206" s="38">
        <f t="shared" si="302"/>
        <v>13487537.951942842</v>
      </c>
      <c r="AL206" s="38">
        <f t="shared" si="302"/>
        <v>13598623.057540135</v>
      </c>
      <c r="AM206" s="38">
        <f t="shared" si="302"/>
        <v>13709116.350963663</v>
      </c>
      <c r="AN206" s="38">
        <f t="shared" si="302"/>
        <v>13818952.839705851</v>
      </c>
      <c r="AO206" s="38">
        <f t="shared" si="302"/>
        <v>13928065.158508116</v>
      </c>
      <c r="AP206" s="38">
        <f t="shared" si="302"/>
        <v>14036383.49889781</v>
      </c>
      <c r="AQ206" s="38">
        <f t="shared" si="302"/>
        <v>14143835.536797505</v>
      </c>
      <c r="AR206" s="38">
        <f t="shared" si="302"/>
        <v>14250346.358156057</v>
      </c>
      <c r="AS206" s="38">
        <f t="shared" si="302"/>
        <v>14355838.38254936</v>
      </c>
      <c r="AT206" s="38">
        <f t="shared" si="302"/>
        <v>14460231.28469754</v>
      </c>
      <c r="AU206" s="38">
        <f t="shared" si="302"/>
        <v>0</v>
      </c>
    </row>
    <row r="207" spans="1:47" x14ac:dyDescent="0.35">
      <c r="D207" s="8" t="str">
        <f>D69</f>
        <v>Total capital expenditure</v>
      </c>
      <c r="I207" s="16" t="s">
        <v>114</v>
      </c>
      <c r="J207" s="61">
        <f t="shared" si="301"/>
        <v>-220000000</v>
      </c>
      <c r="K207" s="38">
        <f t="shared" ref="K207:AU207" si="303">-K69</f>
        <v>-220000000</v>
      </c>
      <c r="L207" s="38">
        <f t="shared" si="303"/>
        <v>0</v>
      </c>
      <c r="M207" s="38">
        <f t="shared" si="303"/>
        <v>0</v>
      </c>
      <c r="N207" s="38">
        <f t="shared" si="303"/>
        <v>0</v>
      </c>
      <c r="O207" s="38">
        <f t="shared" si="303"/>
        <v>0</v>
      </c>
      <c r="P207" s="38">
        <f t="shared" si="303"/>
        <v>0</v>
      </c>
      <c r="Q207" s="38">
        <f t="shared" si="303"/>
        <v>0</v>
      </c>
      <c r="R207" s="38">
        <f t="shared" si="303"/>
        <v>0</v>
      </c>
      <c r="S207" s="38">
        <f t="shared" si="303"/>
        <v>0</v>
      </c>
      <c r="T207" s="38">
        <f t="shared" si="303"/>
        <v>0</v>
      </c>
      <c r="U207" s="38">
        <f t="shared" si="303"/>
        <v>0</v>
      </c>
      <c r="V207" s="38">
        <f t="shared" si="303"/>
        <v>0</v>
      </c>
      <c r="W207" s="38">
        <f t="shared" si="303"/>
        <v>0</v>
      </c>
      <c r="X207" s="38">
        <f t="shared" si="303"/>
        <v>0</v>
      </c>
      <c r="Y207" s="38">
        <f t="shared" si="303"/>
        <v>0</v>
      </c>
      <c r="Z207" s="38">
        <f t="shared" si="303"/>
        <v>0</v>
      </c>
      <c r="AA207" s="38">
        <f t="shared" si="303"/>
        <v>0</v>
      </c>
      <c r="AB207" s="38">
        <f t="shared" si="303"/>
        <v>0</v>
      </c>
      <c r="AC207" s="38">
        <f t="shared" si="303"/>
        <v>0</v>
      </c>
      <c r="AD207" s="38">
        <f t="shared" si="303"/>
        <v>0</v>
      </c>
      <c r="AE207" s="38">
        <f t="shared" si="303"/>
        <v>0</v>
      </c>
      <c r="AF207" s="38">
        <f t="shared" si="303"/>
        <v>0</v>
      </c>
      <c r="AG207" s="38">
        <f t="shared" si="303"/>
        <v>0</v>
      </c>
      <c r="AH207" s="38">
        <f t="shared" si="303"/>
        <v>0</v>
      </c>
      <c r="AI207" s="38">
        <f t="shared" si="303"/>
        <v>0</v>
      </c>
      <c r="AJ207" s="38">
        <f t="shared" si="303"/>
        <v>0</v>
      </c>
      <c r="AK207" s="38">
        <f t="shared" si="303"/>
        <v>0</v>
      </c>
      <c r="AL207" s="38">
        <f t="shared" si="303"/>
        <v>0</v>
      </c>
      <c r="AM207" s="38">
        <f t="shared" si="303"/>
        <v>0</v>
      </c>
      <c r="AN207" s="38">
        <f t="shared" si="303"/>
        <v>0</v>
      </c>
      <c r="AO207" s="38">
        <f t="shared" si="303"/>
        <v>0</v>
      </c>
      <c r="AP207" s="38">
        <f t="shared" si="303"/>
        <v>0</v>
      </c>
      <c r="AQ207" s="38">
        <f t="shared" si="303"/>
        <v>0</v>
      </c>
      <c r="AR207" s="38">
        <f t="shared" si="303"/>
        <v>0</v>
      </c>
      <c r="AS207" s="38">
        <f t="shared" si="303"/>
        <v>0</v>
      </c>
      <c r="AT207" s="38">
        <f t="shared" si="303"/>
        <v>0</v>
      </c>
      <c r="AU207" s="38">
        <f t="shared" si="303"/>
        <v>0</v>
      </c>
    </row>
    <row r="208" spans="1:47" x14ac:dyDescent="0.35">
      <c r="D208" s="8" t="str">
        <f>D70</f>
        <v>Interest during construction</v>
      </c>
      <c r="I208" s="16" t="s">
        <v>114</v>
      </c>
      <c r="J208" s="61">
        <f t="shared" si="301"/>
        <v>-8568629.8388254847</v>
      </c>
      <c r="K208" s="38">
        <f t="shared" ref="K208:AU208" si="304">-K70</f>
        <v>-8568629.8388254847</v>
      </c>
      <c r="L208" s="38">
        <f t="shared" si="304"/>
        <v>0</v>
      </c>
      <c r="M208" s="38">
        <f t="shared" si="304"/>
        <v>0</v>
      </c>
      <c r="N208" s="38">
        <f t="shared" si="304"/>
        <v>0</v>
      </c>
      <c r="O208" s="38">
        <f t="shared" si="304"/>
        <v>0</v>
      </c>
      <c r="P208" s="38">
        <f t="shared" si="304"/>
        <v>0</v>
      </c>
      <c r="Q208" s="38">
        <f t="shared" si="304"/>
        <v>0</v>
      </c>
      <c r="R208" s="38">
        <f t="shared" si="304"/>
        <v>0</v>
      </c>
      <c r="S208" s="38">
        <f t="shared" si="304"/>
        <v>0</v>
      </c>
      <c r="T208" s="38">
        <f t="shared" si="304"/>
        <v>0</v>
      </c>
      <c r="U208" s="38">
        <f t="shared" si="304"/>
        <v>0</v>
      </c>
      <c r="V208" s="38">
        <f t="shared" si="304"/>
        <v>0</v>
      </c>
      <c r="W208" s="38">
        <f t="shared" si="304"/>
        <v>0</v>
      </c>
      <c r="X208" s="38">
        <f t="shared" si="304"/>
        <v>0</v>
      </c>
      <c r="Y208" s="38">
        <f t="shared" si="304"/>
        <v>0</v>
      </c>
      <c r="Z208" s="38">
        <f t="shared" si="304"/>
        <v>0</v>
      </c>
      <c r="AA208" s="38">
        <f t="shared" si="304"/>
        <v>0</v>
      </c>
      <c r="AB208" s="38">
        <f t="shared" si="304"/>
        <v>0</v>
      </c>
      <c r="AC208" s="38">
        <f t="shared" si="304"/>
        <v>0</v>
      </c>
      <c r="AD208" s="38">
        <f t="shared" si="304"/>
        <v>0</v>
      </c>
      <c r="AE208" s="38">
        <f t="shared" si="304"/>
        <v>0</v>
      </c>
      <c r="AF208" s="38">
        <f t="shared" si="304"/>
        <v>0</v>
      </c>
      <c r="AG208" s="38">
        <f t="shared" si="304"/>
        <v>0</v>
      </c>
      <c r="AH208" s="38">
        <f t="shared" si="304"/>
        <v>0</v>
      </c>
      <c r="AI208" s="38">
        <f t="shared" si="304"/>
        <v>0</v>
      </c>
      <c r="AJ208" s="38">
        <f t="shared" si="304"/>
        <v>0</v>
      </c>
      <c r="AK208" s="38">
        <f t="shared" si="304"/>
        <v>0</v>
      </c>
      <c r="AL208" s="38">
        <f t="shared" si="304"/>
        <v>0</v>
      </c>
      <c r="AM208" s="38">
        <f t="shared" si="304"/>
        <v>0</v>
      </c>
      <c r="AN208" s="38">
        <f t="shared" si="304"/>
        <v>0</v>
      </c>
      <c r="AO208" s="38">
        <f t="shared" si="304"/>
        <v>0</v>
      </c>
      <c r="AP208" s="38">
        <f t="shared" si="304"/>
        <v>0</v>
      </c>
      <c r="AQ208" s="38">
        <f t="shared" si="304"/>
        <v>0</v>
      </c>
      <c r="AR208" s="38">
        <f t="shared" si="304"/>
        <v>0</v>
      </c>
      <c r="AS208" s="38">
        <f t="shared" si="304"/>
        <v>0</v>
      </c>
      <c r="AT208" s="38">
        <f t="shared" si="304"/>
        <v>0</v>
      </c>
      <c r="AU208" s="38">
        <f t="shared" si="304"/>
        <v>0</v>
      </c>
    </row>
    <row r="209" spans="4:47" x14ac:dyDescent="0.35">
      <c r="D209" s="38" t="str">
        <f>D118</f>
        <v>Changes in working capital</v>
      </c>
      <c r="I209" s="16" t="s">
        <v>114</v>
      </c>
      <c r="J209" s="61">
        <f t="shared" si="301"/>
        <v>0</v>
      </c>
      <c r="K209" s="38">
        <f t="shared" ref="K209:AU209" si="305">-K118</f>
        <v>0</v>
      </c>
      <c r="L209" s="38">
        <f t="shared" si="305"/>
        <v>0</v>
      </c>
      <c r="M209" s="38">
        <f t="shared" si="305"/>
        <v>0</v>
      </c>
      <c r="N209" s="38">
        <f t="shared" si="305"/>
        <v>0</v>
      </c>
      <c r="O209" s="38">
        <f t="shared" si="305"/>
        <v>0</v>
      </c>
      <c r="P209" s="38">
        <f t="shared" si="305"/>
        <v>0</v>
      </c>
      <c r="Q209" s="38">
        <f t="shared" si="305"/>
        <v>0</v>
      </c>
      <c r="R209" s="38">
        <f t="shared" si="305"/>
        <v>0</v>
      </c>
      <c r="S209" s="38">
        <f t="shared" si="305"/>
        <v>0</v>
      </c>
      <c r="T209" s="38">
        <f t="shared" si="305"/>
        <v>0</v>
      </c>
      <c r="U209" s="38">
        <f t="shared" si="305"/>
        <v>0</v>
      </c>
      <c r="V209" s="38">
        <f t="shared" si="305"/>
        <v>0</v>
      </c>
      <c r="W209" s="38">
        <f t="shared" si="305"/>
        <v>0</v>
      </c>
      <c r="X209" s="38">
        <f t="shared" si="305"/>
        <v>0</v>
      </c>
      <c r="Y209" s="38">
        <f t="shared" si="305"/>
        <v>0</v>
      </c>
      <c r="Z209" s="38">
        <f t="shared" si="305"/>
        <v>0</v>
      </c>
      <c r="AA209" s="38">
        <f t="shared" si="305"/>
        <v>0</v>
      </c>
      <c r="AB209" s="38">
        <f t="shared" si="305"/>
        <v>0</v>
      </c>
      <c r="AC209" s="38">
        <f t="shared" si="305"/>
        <v>0</v>
      </c>
      <c r="AD209" s="38">
        <f t="shared" si="305"/>
        <v>0</v>
      </c>
      <c r="AE209" s="38">
        <f t="shared" si="305"/>
        <v>0</v>
      </c>
      <c r="AF209" s="38">
        <f t="shared" si="305"/>
        <v>0</v>
      </c>
      <c r="AG209" s="38">
        <f t="shared" si="305"/>
        <v>0</v>
      </c>
      <c r="AH209" s="38">
        <f t="shared" si="305"/>
        <v>0</v>
      </c>
      <c r="AI209" s="38">
        <f t="shared" si="305"/>
        <v>0</v>
      </c>
      <c r="AJ209" s="38">
        <f t="shared" si="305"/>
        <v>0</v>
      </c>
      <c r="AK209" s="38">
        <f t="shared" si="305"/>
        <v>0</v>
      </c>
      <c r="AL209" s="38">
        <f t="shared" si="305"/>
        <v>0</v>
      </c>
      <c r="AM209" s="38">
        <f t="shared" si="305"/>
        <v>0</v>
      </c>
      <c r="AN209" s="38">
        <f t="shared" si="305"/>
        <v>0</v>
      </c>
      <c r="AO209" s="38">
        <f t="shared" si="305"/>
        <v>0</v>
      </c>
      <c r="AP209" s="38">
        <f t="shared" si="305"/>
        <v>0</v>
      </c>
      <c r="AQ209" s="38">
        <f t="shared" si="305"/>
        <v>0</v>
      </c>
      <c r="AR209" s="38">
        <f t="shared" si="305"/>
        <v>0</v>
      </c>
      <c r="AS209" s="38">
        <f t="shared" si="305"/>
        <v>0</v>
      </c>
      <c r="AT209" s="38">
        <f t="shared" si="305"/>
        <v>0</v>
      </c>
      <c r="AU209" s="38">
        <f t="shared" si="305"/>
        <v>0</v>
      </c>
    </row>
    <row r="210" spans="4:47" x14ac:dyDescent="0.35">
      <c r="D210" s="38" t="str">
        <f>D98</f>
        <v>Tax expense</v>
      </c>
      <c r="I210" s="16" t="s">
        <v>114</v>
      </c>
      <c r="J210" s="61">
        <f t="shared" si="301"/>
        <v>-62036503.109964684</v>
      </c>
      <c r="K210" s="38">
        <f t="shared" ref="K210:AU210" si="306">-K98</f>
        <v>0</v>
      </c>
      <c r="L210" s="38">
        <f t="shared" si="306"/>
        <v>0</v>
      </c>
      <c r="M210" s="38">
        <f t="shared" si="306"/>
        <v>0</v>
      </c>
      <c r="N210" s="38">
        <f t="shared" si="306"/>
        <v>0</v>
      </c>
      <c r="O210" s="38">
        <f t="shared" si="306"/>
        <v>0</v>
      </c>
      <c r="P210" s="38">
        <f t="shared" si="306"/>
        <v>0</v>
      </c>
      <c r="Q210" s="38">
        <f t="shared" si="306"/>
        <v>0</v>
      </c>
      <c r="R210" s="38">
        <f t="shared" si="306"/>
        <v>0</v>
      </c>
      <c r="S210" s="38">
        <f t="shared" si="306"/>
        <v>0</v>
      </c>
      <c r="T210" s="38">
        <f t="shared" si="306"/>
        <v>0</v>
      </c>
      <c r="U210" s="38">
        <f t="shared" si="306"/>
        <v>0</v>
      </c>
      <c r="V210" s="38">
        <f t="shared" si="306"/>
        <v>0</v>
      </c>
      <c r="W210" s="38">
        <f t="shared" si="306"/>
        <v>0</v>
      </c>
      <c r="X210" s="38">
        <f t="shared" si="306"/>
        <v>0</v>
      </c>
      <c r="Y210" s="38">
        <f t="shared" si="306"/>
        <v>0</v>
      </c>
      <c r="Z210" s="38">
        <f t="shared" si="306"/>
        <v>0</v>
      </c>
      <c r="AA210" s="38">
        <f t="shared" si="306"/>
        <v>0</v>
      </c>
      <c r="AB210" s="38">
        <f t="shared" si="306"/>
        <v>0</v>
      </c>
      <c r="AC210" s="38">
        <f t="shared" si="306"/>
        <v>0</v>
      </c>
      <c r="AD210" s="38">
        <f t="shared" si="306"/>
        <v>0</v>
      </c>
      <c r="AE210" s="38">
        <f t="shared" si="306"/>
        <v>-373334.65087334363</v>
      </c>
      <c r="AF210" s="38">
        <f t="shared" si="306"/>
        <v>-3877605.7128552673</v>
      </c>
      <c r="AG210" s="38">
        <f t="shared" si="306"/>
        <v>-3911550.0004692283</v>
      </c>
      <c r="AH210" s="38">
        <f t="shared" si="306"/>
        <v>-3945404.2570309453</v>
      </c>
      <c r="AI210" s="38">
        <f t="shared" si="306"/>
        <v>-3979152.246054301</v>
      </c>
      <c r="AJ210" s="38">
        <f t="shared" si="306"/>
        <v>-4012777.1167539461</v>
      </c>
      <c r="AK210" s="38">
        <f t="shared" si="306"/>
        <v>-4046261.3855828526</v>
      </c>
      <c r="AL210" s="38">
        <f t="shared" si="306"/>
        <v>-4079586.9172620405</v>
      </c>
      <c r="AM210" s="38">
        <f t="shared" si="306"/>
        <v>-4112734.9052890986</v>
      </c>
      <c r="AN210" s="38">
        <f t="shared" si="306"/>
        <v>-4145685.8519117553</v>
      </c>
      <c r="AO210" s="38">
        <f t="shared" si="306"/>
        <v>-4178419.5475524347</v>
      </c>
      <c r="AP210" s="38">
        <f t="shared" si="306"/>
        <v>-4210915.049669343</v>
      </c>
      <c r="AQ210" s="38">
        <f t="shared" si="306"/>
        <v>-4243150.6610392509</v>
      </c>
      <c r="AR210" s="38">
        <f t="shared" si="306"/>
        <v>-4275103.9074468166</v>
      </c>
      <c r="AS210" s="38">
        <f t="shared" si="306"/>
        <v>-4306751.5147648081</v>
      </c>
      <c r="AT210" s="38">
        <f t="shared" si="306"/>
        <v>-4338069.385409262</v>
      </c>
      <c r="AU210" s="38">
        <f t="shared" si="306"/>
        <v>0</v>
      </c>
    </row>
    <row r="211" spans="4:47" x14ac:dyDescent="0.35">
      <c r="D211" s="3" t="s">
        <v>90</v>
      </c>
      <c r="E211" s="23"/>
      <c r="F211" s="23"/>
      <c r="G211" s="23"/>
      <c r="H211" s="23"/>
      <c r="I211" s="23" t="s">
        <v>114</v>
      </c>
      <c r="J211" s="82">
        <f t="shared" si="301"/>
        <v>-193660344.52384302</v>
      </c>
      <c r="K211" s="40">
        <f>SUM(K204,K206:K210)</f>
        <v>-228568629.83882549</v>
      </c>
      <c r="L211" s="40">
        <f t="shared" ref="L211:AU211" si="307">SUM(L204,L206:L210)</f>
        <v>15044301.311999999</v>
      </c>
      <c r="M211" s="40">
        <f t="shared" si="307"/>
        <v>14932807.016908802</v>
      </c>
      <c r="N211" s="40">
        <f t="shared" si="307"/>
        <v>14819875.328743938</v>
      </c>
      <c r="O211" s="40">
        <f t="shared" si="307"/>
        <v>14705447.35098901</v>
      </c>
      <c r="P211" s="40">
        <f t="shared" si="307"/>
        <v>14589462.587966301</v>
      </c>
      <c r="Q211" s="40">
        <f t="shared" si="307"/>
        <v>-81688014.342538416</v>
      </c>
      <c r="R211" s="40">
        <f t="shared" si="307"/>
        <v>-67335441.873717546</v>
      </c>
      <c r="S211" s="40">
        <f t="shared" si="307"/>
        <v>-53103904.140272163</v>
      </c>
      <c r="T211" s="40">
        <f t="shared" si="307"/>
        <v>-38995216.777541012</v>
      </c>
      <c r="U211" s="40">
        <f t="shared" si="307"/>
        <v>-25011264.579193152</v>
      </c>
      <c r="V211" s="40">
        <f t="shared" si="307"/>
        <v>-13223336.255384209</v>
      </c>
      <c r="W211" s="40">
        <f t="shared" si="307"/>
        <v>-1321826.2982531581</v>
      </c>
      <c r="X211" s="40">
        <f t="shared" si="307"/>
        <v>10693406.196068944</v>
      </c>
      <c r="Y211" s="40">
        <f t="shared" si="307"/>
        <v>12129059.248288043</v>
      </c>
      <c r="Z211" s="40">
        <f t="shared" si="307"/>
        <v>12242952.015633088</v>
      </c>
      <c r="AA211" s="40">
        <f t="shared" si="307"/>
        <v>12356871.029825214</v>
      </c>
      <c r="AB211" s="40">
        <f t="shared" si="307"/>
        <v>12470774.913057785</v>
      </c>
      <c r="AC211" s="40">
        <f t="shared" si="307"/>
        <v>12584620.626772726</v>
      </c>
      <c r="AD211" s="40">
        <f t="shared" si="307"/>
        <v>12698363.420809768</v>
      </c>
      <c r="AE211" s="40">
        <f t="shared" si="307"/>
        <v>12438622.130272083</v>
      </c>
      <c r="AF211" s="40">
        <f t="shared" si="307"/>
        <v>9047746.6633289568</v>
      </c>
      <c r="AG211" s="40">
        <f t="shared" si="307"/>
        <v>9126950.0010948665</v>
      </c>
      <c r="AH211" s="40">
        <f t="shared" si="307"/>
        <v>9205943.2664055396</v>
      </c>
      <c r="AI211" s="40">
        <f t="shared" si="307"/>
        <v>9284688.5741267037</v>
      </c>
      <c r="AJ211" s="40">
        <f t="shared" si="307"/>
        <v>9363146.6057592072</v>
      </c>
      <c r="AK211" s="40">
        <f t="shared" si="307"/>
        <v>9441276.5663599893</v>
      </c>
      <c r="AL211" s="40">
        <f t="shared" si="307"/>
        <v>9519036.1402780954</v>
      </c>
      <c r="AM211" s="40">
        <f t="shared" si="307"/>
        <v>9596381.4456745647</v>
      </c>
      <c r="AN211" s="40">
        <f t="shared" si="307"/>
        <v>9673266.9877940957</v>
      </c>
      <c r="AO211" s="40">
        <f t="shared" si="307"/>
        <v>9749645.6109556817</v>
      </c>
      <c r="AP211" s="40">
        <f t="shared" si="307"/>
        <v>9825468.4492284656</v>
      </c>
      <c r="AQ211" s="40">
        <f t="shared" si="307"/>
        <v>9900684.875758253</v>
      </c>
      <c r="AR211" s="40">
        <f t="shared" si="307"/>
        <v>9975242.4507092405</v>
      </c>
      <c r="AS211" s="40">
        <f t="shared" si="307"/>
        <v>10049086.867784552</v>
      </c>
      <c r="AT211" s="40">
        <f t="shared" si="307"/>
        <v>10122161.899288278</v>
      </c>
      <c r="AU211" s="40">
        <f t="shared" si="307"/>
        <v>0</v>
      </c>
    </row>
    <row r="213" spans="4:47" x14ac:dyDescent="0.35">
      <c r="D213" s="8" t="str">
        <f>D200</f>
        <v>Equity contribution</v>
      </c>
      <c r="I213" s="16" t="s">
        <v>114</v>
      </c>
      <c r="J213" s="61">
        <f>SUM(K213:AU213)</f>
        <v>96743555.395356506</v>
      </c>
      <c r="K213" s="38">
        <f>K200</f>
        <v>96743555.395356506</v>
      </c>
      <c r="L213" s="38">
        <f t="shared" ref="L213:AU213" si="308">L200</f>
        <v>0</v>
      </c>
      <c r="M213" s="38">
        <f t="shared" si="308"/>
        <v>0</v>
      </c>
      <c r="N213" s="38">
        <f t="shared" si="308"/>
        <v>0</v>
      </c>
      <c r="O213" s="38">
        <f t="shared" si="308"/>
        <v>0</v>
      </c>
      <c r="P213" s="38">
        <f t="shared" si="308"/>
        <v>0</v>
      </c>
      <c r="Q213" s="38">
        <f t="shared" si="308"/>
        <v>0</v>
      </c>
      <c r="R213" s="38">
        <f t="shared" si="308"/>
        <v>0</v>
      </c>
      <c r="S213" s="38">
        <f t="shared" si="308"/>
        <v>0</v>
      </c>
      <c r="T213" s="38">
        <f t="shared" si="308"/>
        <v>0</v>
      </c>
      <c r="U213" s="38">
        <f t="shared" si="308"/>
        <v>0</v>
      </c>
      <c r="V213" s="38">
        <f t="shared" si="308"/>
        <v>0</v>
      </c>
      <c r="W213" s="38">
        <f t="shared" si="308"/>
        <v>0</v>
      </c>
      <c r="X213" s="38">
        <f t="shared" si="308"/>
        <v>0</v>
      </c>
      <c r="Y213" s="38">
        <f t="shared" si="308"/>
        <v>0</v>
      </c>
      <c r="Z213" s="38">
        <f t="shared" si="308"/>
        <v>0</v>
      </c>
      <c r="AA213" s="38">
        <f t="shared" si="308"/>
        <v>0</v>
      </c>
      <c r="AB213" s="38">
        <f t="shared" si="308"/>
        <v>0</v>
      </c>
      <c r="AC213" s="38">
        <f t="shared" si="308"/>
        <v>0</v>
      </c>
      <c r="AD213" s="38">
        <f t="shared" si="308"/>
        <v>0</v>
      </c>
      <c r="AE213" s="38">
        <f t="shared" si="308"/>
        <v>0</v>
      </c>
      <c r="AF213" s="38">
        <f t="shared" si="308"/>
        <v>0</v>
      </c>
      <c r="AG213" s="38">
        <f t="shared" si="308"/>
        <v>0</v>
      </c>
      <c r="AH213" s="38">
        <f t="shared" si="308"/>
        <v>0</v>
      </c>
      <c r="AI213" s="38">
        <f t="shared" si="308"/>
        <v>0</v>
      </c>
      <c r="AJ213" s="38">
        <f t="shared" si="308"/>
        <v>0</v>
      </c>
      <c r="AK213" s="38">
        <f t="shared" si="308"/>
        <v>0</v>
      </c>
      <c r="AL213" s="38">
        <f t="shared" si="308"/>
        <v>0</v>
      </c>
      <c r="AM213" s="38">
        <f t="shared" si="308"/>
        <v>0</v>
      </c>
      <c r="AN213" s="38">
        <f t="shared" si="308"/>
        <v>0</v>
      </c>
      <c r="AO213" s="38">
        <f t="shared" si="308"/>
        <v>0</v>
      </c>
      <c r="AP213" s="38">
        <f t="shared" si="308"/>
        <v>0</v>
      </c>
      <c r="AQ213" s="38">
        <f t="shared" si="308"/>
        <v>0</v>
      </c>
      <c r="AR213" s="38">
        <f t="shared" si="308"/>
        <v>0</v>
      </c>
      <c r="AS213" s="38">
        <f t="shared" si="308"/>
        <v>0</v>
      </c>
      <c r="AT213" s="38">
        <f t="shared" si="308"/>
        <v>0</v>
      </c>
      <c r="AU213" s="38">
        <f t="shared" si="308"/>
        <v>0</v>
      </c>
    </row>
    <row r="214" spans="4:47" x14ac:dyDescent="0.35">
      <c r="D214" s="2" t="s">
        <v>150</v>
      </c>
      <c r="I214" s="16" t="s">
        <v>114</v>
      </c>
      <c r="J214" s="61">
        <f>SUM(K214:AU214)</f>
        <v>131825074.44346899</v>
      </c>
      <c r="K214" s="38">
        <f t="shared" ref="K214:AU214" si="309">K152</f>
        <v>131825074.44346899</v>
      </c>
      <c r="L214" s="38">
        <f t="shared" si="309"/>
        <v>0</v>
      </c>
      <c r="M214" s="38">
        <f t="shared" si="309"/>
        <v>0</v>
      </c>
      <c r="N214" s="38">
        <f t="shared" si="309"/>
        <v>0</v>
      </c>
      <c r="O214" s="38">
        <f t="shared" si="309"/>
        <v>0</v>
      </c>
      <c r="P214" s="38">
        <f t="shared" si="309"/>
        <v>0</v>
      </c>
      <c r="Q214" s="38">
        <f t="shared" si="309"/>
        <v>0</v>
      </c>
      <c r="R214" s="38">
        <f t="shared" si="309"/>
        <v>0</v>
      </c>
      <c r="S214" s="38">
        <f t="shared" si="309"/>
        <v>0</v>
      </c>
      <c r="T214" s="38">
        <f t="shared" si="309"/>
        <v>0</v>
      </c>
      <c r="U214" s="38">
        <f t="shared" si="309"/>
        <v>0</v>
      </c>
      <c r="V214" s="38">
        <f t="shared" si="309"/>
        <v>0</v>
      </c>
      <c r="W214" s="38">
        <f t="shared" si="309"/>
        <v>0</v>
      </c>
      <c r="X214" s="38">
        <f t="shared" si="309"/>
        <v>0</v>
      </c>
      <c r="Y214" s="38">
        <f t="shared" si="309"/>
        <v>0</v>
      </c>
      <c r="Z214" s="38">
        <f t="shared" si="309"/>
        <v>0</v>
      </c>
      <c r="AA214" s="38">
        <f t="shared" si="309"/>
        <v>0</v>
      </c>
      <c r="AB214" s="38">
        <f t="shared" si="309"/>
        <v>0</v>
      </c>
      <c r="AC214" s="38">
        <f t="shared" si="309"/>
        <v>0</v>
      </c>
      <c r="AD214" s="38">
        <f t="shared" si="309"/>
        <v>0</v>
      </c>
      <c r="AE214" s="38">
        <f t="shared" si="309"/>
        <v>0</v>
      </c>
      <c r="AF214" s="38">
        <f t="shared" si="309"/>
        <v>0</v>
      </c>
      <c r="AG214" s="38">
        <f t="shared" si="309"/>
        <v>0</v>
      </c>
      <c r="AH214" s="38">
        <f t="shared" si="309"/>
        <v>0</v>
      </c>
      <c r="AI214" s="38">
        <f t="shared" si="309"/>
        <v>0</v>
      </c>
      <c r="AJ214" s="38">
        <f t="shared" si="309"/>
        <v>0</v>
      </c>
      <c r="AK214" s="38">
        <f t="shared" si="309"/>
        <v>0</v>
      </c>
      <c r="AL214" s="38">
        <f t="shared" si="309"/>
        <v>0</v>
      </c>
      <c r="AM214" s="38">
        <f t="shared" si="309"/>
        <v>0</v>
      </c>
      <c r="AN214" s="38">
        <f t="shared" si="309"/>
        <v>0</v>
      </c>
      <c r="AO214" s="38">
        <f t="shared" si="309"/>
        <v>0</v>
      </c>
      <c r="AP214" s="38">
        <f t="shared" si="309"/>
        <v>0</v>
      </c>
      <c r="AQ214" s="38">
        <f t="shared" si="309"/>
        <v>0</v>
      </c>
      <c r="AR214" s="38">
        <f t="shared" si="309"/>
        <v>0</v>
      </c>
      <c r="AS214" s="38">
        <f t="shared" si="309"/>
        <v>0</v>
      </c>
      <c r="AT214" s="38">
        <f t="shared" si="309"/>
        <v>0</v>
      </c>
      <c r="AU214" s="38">
        <f t="shared" si="309"/>
        <v>0</v>
      </c>
    </row>
    <row r="215" spans="4:47" x14ac:dyDescent="0.35">
      <c r="D215" s="2" t="s">
        <v>178</v>
      </c>
      <c r="E215" s="61"/>
      <c r="G215" s="75"/>
      <c r="I215" s="16" t="s">
        <v>114</v>
      </c>
      <c r="J215" s="61">
        <f>SUM(K215:AU215)</f>
        <v>-15609381.836841011</v>
      </c>
      <c r="K215" s="38">
        <f t="shared" ref="K215:AU215" si="310">K153</f>
        <v>0</v>
      </c>
      <c r="L215" s="38">
        <f t="shared" si="310"/>
        <v>-2238585.0080566742</v>
      </c>
      <c r="M215" s="38">
        <f t="shared" si="310"/>
        <v>-2659503.6538130175</v>
      </c>
      <c r="N215" s="38">
        <f t="shared" si="310"/>
        <v>-3100534.8823625958</v>
      </c>
      <c r="O215" s="38">
        <f t="shared" si="310"/>
        <v>-3562892.5810371805</v>
      </c>
      <c r="P215" s="38">
        <f t="shared" si="310"/>
        <v>-4047865.7115715425</v>
      </c>
      <c r="Q215" s="38">
        <f t="shared" si="310"/>
        <v>0</v>
      </c>
      <c r="R215" s="38">
        <f t="shared" si="310"/>
        <v>0</v>
      </c>
      <c r="S215" s="38">
        <f t="shared" si="310"/>
        <v>0</v>
      </c>
      <c r="T215" s="38">
        <f t="shared" si="310"/>
        <v>0</v>
      </c>
      <c r="U215" s="38">
        <f t="shared" si="310"/>
        <v>0</v>
      </c>
      <c r="V215" s="38">
        <f t="shared" si="310"/>
        <v>0</v>
      </c>
      <c r="W215" s="38">
        <f t="shared" si="310"/>
        <v>0</v>
      </c>
      <c r="X215" s="38">
        <f t="shared" si="310"/>
        <v>0</v>
      </c>
      <c r="Y215" s="38">
        <f t="shared" si="310"/>
        <v>0</v>
      </c>
      <c r="Z215" s="38">
        <f t="shared" si="310"/>
        <v>0</v>
      </c>
      <c r="AA215" s="38">
        <f t="shared" si="310"/>
        <v>0</v>
      </c>
      <c r="AB215" s="38">
        <f t="shared" si="310"/>
        <v>0</v>
      </c>
      <c r="AC215" s="38">
        <f t="shared" si="310"/>
        <v>0</v>
      </c>
      <c r="AD215" s="38">
        <f t="shared" si="310"/>
        <v>0</v>
      </c>
      <c r="AE215" s="38">
        <f t="shared" si="310"/>
        <v>0</v>
      </c>
      <c r="AF215" s="38">
        <f t="shared" si="310"/>
        <v>0</v>
      </c>
      <c r="AG215" s="38">
        <f t="shared" si="310"/>
        <v>0</v>
      </c>
      <c r="AH215" s="38">
        <f t="shared" si="310"/>
        <v>0</v>
      </c>
      <c r="AI215" s="38">
        <f t="shared" si="310"/>
        <v>0</v>
      </c>
      <c r="AJ215" s="38">
        <f t="shared" si="310"/>
        <v>0</v>
      </c>
      <c r="AK215" s="38">
        <f t="shared" si="310"/>
        <v>0</v>
      </c>
      <c r="AL215" s="38">
        <f t="shared" si="310"/>
        <v>0</v>
      </c>
      <c r="AM215" s="38">
        <f t="shared" si="310"/>
        <v>0</v>
      </c>
      <c r="AN215" s="38">
        <f t="shared" si="310"/>
        <v>0</v>
      </c>
      <c r="AO215" s="38">
        <f t="shared" si="310"/>
        <v>0</v>
      </c>
      <c r="AP215" s="38">
        <f t="shared" si="310"/>
        <v>0</v>
      </c>
      <c r="AQ215" s="38">
        <f t="shared" si="310"/>
        <v>0</v>
      </c>
      <c r="AR215" s="38">
        <f t="shared" si="310"/>
        <v>0</v>
      </c>
      <c r="AS215" s="38">
        <f t="shared" si="310"/>
        <v>0</v>
      </c>
      <c r="AT215" s="38">
        <f t="shared" si="310"/>
        <v>0</v>
      </c>
      <c r="AU215" s="38">
        <f t="shared" si="310"/>
        <v>0</v>
      </c>
    </row>
    <row r="216" spans="4:47" x14ac:dyDescent="0.35">
      <c r="D216" s="8" t="str">
        <f>D162</f>
        <v>Interest paid</v>
      </c>
      <c r="E216" s="61"/>
      <c r="G216" s="75"/>
      <c r="I216" s="16" t="s">
        <v>114</v>
      </c>
      <c r="J216" s="61">
        <f>SUM(K216:AU216)</f>
        <v>-38426692.397569783</v>
      </c>
      <c r="K216" s="38">
        <f t="shared" ref="K216:AU216" si="311">-K162</f>
        <v>0</v>
      </c>
      <c r="L216" s="38">
        <f t="shared" si="311"/>
        <v>-8568629.8388254847</v>
      </c>
      <c r="M216" s="38">
        <f t="shared" si="311"/>
        <v>-8147711.1930691414</v>
      </c>
      <c r="N216" s="38">
        <f t="shared" si="311"/>
        <v>-7706679.9645195631</v>
      </c>
      <c r="O216" s="38">
        <f t="shared" si="311"/>
        <v>-7244322.2658449784</v>
      </c>
      <c r="P216" s="38">
        <f t="shared" si="311"/>
        <v>-6759349.1353106163</v>
      </c>
      <c r="Q216" s="38">
        <f t="shared" si="311"/>
        <v>0</v>
      </c>
      <c r="R216" s="38">
        <f t="shared" si="311"/>
        <v>0</v>
      </c>
      <c r="S216" s="38">
        <f t="shared" si="311"/>
        <v>0</v>
      </c>
      <c r="T216" s="38">
        <f t="shared" si="311"/>
        <v>0</v>
      </c>
      <c r="U216" s="38">
        <f t="shared" si="311"/>
        <v>0</v>
      </c>
      <c r="V216" s="38">
        <f t="shared" si="311"/>
        <v>0</v>
      </c>
      <c r="W216" s="38">
        <f t="shared" si="311"/>
        <v>0</v>
      </c>
      <c r="X216" s="38">
        <f t="shared" si="311"/>
        <v>0</v>
      </c>
      <c r="Y216" s="38">
        <f t="shared" si="311"/>
        <v>0</v>
      </c>
      <c r="Z216" s="38">
        <f t="shared" si="311"/>
        <v>0</v>
      </c>
      <c r="AA216" s="38">
        <f t="shared" si="311"/>
        <v>0</v>
      </c>
      <c r="AB216" s="38">
        <f t="shared" si="311"/>
        <v>0</v>
      </c>
      <c r="AC216" s="38">
        <f t="shared" si="311"/>
        <v>0</v>
      </c>
      <c r="AD216" s="38">
        <f t="shared" si="311"/>
        <v>0</v>
      </c>
      <c r="AE216" s="38">
        <f t="shared" si="311"/>
        <v>0</v>
      </c>
      <c r="AF216" s="38">
        <f t="shared" si="311"/>
        <v>0</v>
      </c>
      <c r="AG216" s="38">
        <f t="shared" si="311"/>
        <v>0</v>
      </c>
      <c r="AH216" s="38">
        <f t="shared" si="311"/>
        <v>0</v>
      </c>
      <c r="AI216" s="38">
        <f t="shared" si="311"/>
        <v>0</v>
      </c>
      <c r="AJ216" s="38">
        <f t="shared" si="311"/>
        <v>0</v>
      </c>
      <c r="AK216" s="38">
        <f t="shared" si="311"/>
        <v>0</v>
      </c>
      <c r="AL216" s="38">
        <f t="shared" si="311"/>
        <v>0</v>
      </c>
      <c r="AM216" s="38">
        <f t="shared" si="311"/>
        <v>0</v>
      </c>
      <c r="AN216" s="38">
        <f t="shared" si="311"/>
        <v>0</v>
      </c>
      <c r="AO216" s="38">
        <f t="shared" si="311"/>
        <v>0</v>
      </c>
      <c r="AP216" s="38">
        <f t="shared" si="311"/>
        <v>0</v>
      </c>
      <c r="AQ216" s="38">
        <f t="shared" si="311"/>
        <v>0</v>
      </c>
      <c r="AR216" s="38">
        <f t="shared" si="311"/>
        <v>0</v>
      </c>
      <c r="AS216" s="38">
        <f t="shared" si="311"/>
        <v>0</v>
      </c>
      <c r="AT216" s="38">
        <f t="shared" si="311"/>
        <v>0</v>
      </c>
      <c r="AU216" s="38">
        <f t="shared" si="311"/>
        <v>0</v>
      </c>
    </row>
    <row r="217" spans="4:47" x14ac:dyDescent="0.35">
      <c r="D217" s="3" t="s">
        <v>179</v>
      </c>
      <c r="E217" s="23"/>
      <c r="F217" s="23"/>
      <c r="G217" s="23"/>
      <c r="H217" s="23"/>
      <c r="I217" s="23" t="s">
        <v>114</v>
      </c>
      <c r="J217" s="82">
        <f>SUM(K217:AU217)</f>
        <v>-19127788.919428248</v>
      </c>
      <c r="K217" s="40">
        <f>SUM(K211,K213:K216)</f>
        <v>0</v>
      </c>
      <c r="L217" s="40">
        <f t="shared" ref="L217:AU217" si="312">SUM(L211,L213:L216)</f>
        <v>4237086.4651178401</v>
      </c>
      <c r="M217" s="40">
        <f t="shared" si="312"/>
        <v>4125592.1700266432</v>
      </c>
      <c r="N217" s="40">
        <f t="shared" si="312"/>
        <v>4012660.4818617785</v>
      </c>
      <c r="O217" s="40">
        <f t="shared" si="312"/>
        <v>3898232.5041068513</v>
      </c>
      <c r="P217" s="40">
        <f t="shared" si="312"/>
        <v>3782247.7410841417</v>
      </c>
      <c r="Q217" s="40">
        <f t="shared" si="312"/>
        <v>-81688014.342538416</v>
      </c>
      <c r="R217" s="40">
        <f t="shared" si="312"/>
        <v>-67335441.873717546</v>
      </c>
      <c r="S217" s="40">
        <f t="shared" si="312"/>
        <v>-53103904.140272163</v>
      </c>
      <c r="T217" s="40">
        <f t="shared" si="312"/>
        <v>-38995216.777541012</v>
      </c>
      <c r="U217" s="40">
        <f t="shared" si="312"/>
        <v>-25011264.579193152</v>
      </c>
      <c r="V217" s="40">
        <f t="shared" si="312"/>
        <v>-13223336.255384209</v>
      </c>
      <c r="W217" s="40">
        <f t="shared" si="312"/>
        <v>-1321826.2982531581</v>
      </c>
      <c r="X217" s="40">
        <f t="shared" si="312"/>
        <v>10693406.196068944</v>
      </c>
      <c r="Y217" s="40">
        <f t="shared" si="312"/>
        <v>12129059.248288043</v>
      </c>
      <c r="Z217" s="40">
        <f t="shared" si="312"/>
        <v>12242952.015633088</v>
      </c>
      <c r="AA217" s="40">
        <f t="shared" si="312"/>
        <v>12356871.029825214</v>
      </c>
      <c r="AB217" s="40">
        <f t="shared" si="312"/>
        <v>12470774.913057785</v>
      </c>
      <c r="AC217" s="40">
        <f t="shared" si="312"/>
        <v>12584620.626772726</v>
      </c>
      <c r="AD217" s="40">
        <f t="shared" si="312"/>
        <v>12698363.420809768</v>
      </c>
      <c r="AE217" s="40">
        <f t="shared" si="312"/>
        <v>12438622.130272083</v>
      </c>
      <c r="AF217" s="40">
        <f t="shared" si="312"/>
        <v>9047746.6633289568</v>
      </c>
      <c r="AG217" s="40">
        <f t="shared" si="312"/>
        <v>9126950.0010948665</v>
      </c>
      <c r="AH217" s="40">
        <f t="shared" si="312"/>
        <v>9205943.2664055396</v>
      </c>
      <c r="AI217" s="40">
        <f t="shared" si="312"/>
        <v>9284688.5741267037</v>
      </c>
      <c r="AJ217" s="40">
        <f t="shared" si="312"/>
        <v>9363146.6057592072</v>
      </c>
      <c r="AK217" s="40">
        <f t="shared" si="312"/>
        <v>9441276.5663599893</v>
      </c>
      <c r="AL217" s="40">
        <f t="shared" si="312"/>
        <v>9519036.1402780954</v>
      </c>
      <c r="AM217" s="40">
        <f t="shared" si="312"/>
        <v>9596381.4456745647</v>
      </c>
      <c r="AN217" s="40">
        <f t="shared" si="312"/>
        <v>9673266.9877940957</v>
      </c>
      <c r="AO217" s="40">
        <f t="shared" si="312"/>
        <v>9749645.6109556817</v>
      </c>
      <c r="AP217" s="40">
        <f t="shared" si="312"/>
        <v>9825468.4492284656</v>
      </c>
      <c r="AQ217" s="40">
        <f t="shared" si="312"/>
        <v>9900684.875758253</v>
      </c>
      <c r="AR217" s="40">
        <f t="shared" si="312"/>
        <v>9975242.4507092405</v>
      </c>
      <c r="AS217" s="40">
        <f t="shared" si="312"/>
        <v>10049086.867784552</v>
      </c>
      <c r="AT217" s="40">
        <f t="shared" si="312"/>
        <v>10122161.899288278</v>
      </c>
      <c r="AU217" s="40">
        <f t="shared" si="312"/>
        <v>0</v>
      </c>
    </row>
    <row r="218" spans="4:47" x14ac:dyDescent="0.35">
      <c r="D218" s="42"/>
      <c r="E218" s="47"/>
      <c r="F218" s="47"/>
      <c r="G218" s="47"/>
      <c r="H218" s="47"/>
      <c r="I218" s="47"/>
      <c r="J218" s="59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</row>
    <row r="219" spans="4:47" x14ac:dyDescent="0.35">
      <c r="D219" s="120" t="s">
        <v>182</v>
      </c>
      <c r="E219" s="47"/>
      <c r="F219" s="47"/>
      <c r="G219" s="47"/>
      <c r="H219" s="47"/>
      <c r="I219" s="16" t="s">
        <v>114</v>
      </c>
      <c r="J219" s="61">
        <f t="shared" ref="J219:J220" si="313">SUM(K219:AU219)</f>
        <v>-20055819.362197254</v>
      </c>
      <c r="K219" s="121">
        <f t="shared" ref="K219:AU219" si="314">K154</f>
        <v>0</v>
      </c>
      <c r="L219" s="121">
        <f t="shared" si="314"/>
        <v>-4237086.4651178401</v>
      </c>
      <c r="M219" s="121">
        <f t="shared" si="314"/>
        <v>-4125592.1700266432</v>
      </c>
      <c r="N219" s="121">
        <f t="shared" si="314"/>
        <v>-4012660.4818617785</v>
      </c>
      <c r="O219" s="121">
        <f t="shared" si="314"/>
        <v>-3898232.5041068513</v>
      </c>
      <c r="P219" s="121">
        <f t="shared" si="314"/>
        <v>-3782247.7410841417</v>
      </c>
      <c r="Q219" s="121">
        <f t="shared" si="314"/>
        <v>0</v>
      </c>
      <c r="R219" s="121">
        <f t="shared" si="314"/>
        <v>0</v>
      </c>
      <c r="S219" s="121">
        <f t="shared" si="314"/>
        <v>0</v>
      </c>
      <c r="T219" s="121">
        <f t="shared" si="314"/>
        <v>0</v>
      </c>
      <c r="U219" s="121">
        <f t="shared" si="314"/>
        <v>0</v>
      </c>
      <c r="V219" s="121">
        <f t="shared" si="314"/>
        <v>0</v>
      </c>
      <c r="W219" s="121">
        <f t="shared" si="314"/>
        <v>0</v>
      </c>
      <c r="X219" s="121">
        <f t="shared" si="314"/>
        <v>0</v>
      </c>
      <c r="Y219" s="121">
        <f t="shared" si="314"/>
        <v>0</v>
      </c>
      <c r="Z219" s="121">
        <f t="shared" si="314"/>
        <v>0</v>
      </c>
      <c r="AA219" s="121">
        <f t="shared" si="314"/>
        <v>0</v>
      </c>
      <c r="AB219" s="121">
        <f t="shared" si="314"/>
        <v>0</v>
      </c>
      <c r="AC219" s="121">
        <f t="shared" si="314"/>
        <v>0</v>
      </c>
      <c r="AD219" s="121">
        <f t="shared" si="314"/>
        <v>0</v>
      </c>
      <c r="AE219" s="121">
        <f t="shared" si="314"/>
        <v>0</v>
      </c>
      <c r="AF219" s="121">
        <f t="shared" si="314"/>
        <v>0</v>
      </c>
      <c r="AG219" s="121">
        <f t="shared" si="314"/>
        <v>0</v>
      </c>
      <c r="AH219" s="121">
        <f t="shared" si="314"/>
        <v>0</v>
      </c>
      <c r="AI219" s="121">
        <f t="shared" si="314"/>
        <v>0</v>
      </c>
      <c r="AJ219" s="121">
        <f t="shared" si="314"/>
        <v>0</v>
      </c>
      <c r="AK219" s="121">
        <f t="shared" si="314"/>
        <v>0</v>
      </c>
      <c r="AL219" s="121">
        <f t="shared" si="314"/>
        <v>0</v>
      </c>
      <c r="AM219" s="121">
        <f t="shared" si="314"/>
        <v>0</v>
      </c>
      <c r="AN219" s="121">
        <f t="shared" si="314"/>
        <v>0</v>
      </c>
      <c r="AO219" s="121">
        <f t="shared" si="314"/>
        <v>0</v>
      </c>
      <c r="AP219" s="121">
        <f t="shared" si="314"/>
        <v>0</v>
      </c>
      <c r="AQ219" s="121">
        <f t="shared" si="314"/>
        <v>0</v>
      </c>
      <c r="AR219" s="121">
        <f t="shared" si="314"/>
        <v>0</v>
      </c>
      <c r="AS219" s="121">
        <f t="shared" si="314"/>
        <v>0</v>
      </c>
      <c r="AT219" s="121">
        <f t="shared" si="314"/>
        <v>0</v>
      </c>
      <c r="AU219" s="121">
        <f t="shared" si="314"/>
        <v>0</v>
      </c>
    </row>
    <row r="220" spans="4:47" x14ac:dyDescent="0.35">
      <c r="D220" s="120" t="s">
        <v>183</v>
      </c>
      <c r="E220" s="47"/>
      <c r="F220" s="47"/>
      <c r="G220" s="47"/>
      <c r="H220" s="47"/>
      <c r="I220" s="16" t="s">
        <v>114</v>
      </c>
      <c r="J220" s="61">
        <f t="shared" si="313"/>
        <v>-96159873.244430721</v>
      </c>
      <c r="K220" s="121">
        <f t="shared" ref="K220:AU220" si="315">K155</f>
        <v>0</v>
      </c>
      <c r="L220" s="121">
        <f t="shared" si="315"/>
        <v>0</v>
      </c>
      <c r="M220" s="121">
        <f t="shared" si="315"/>
        <v>0</v>
      </c>
      <c r="N220" s="121">
        <f t="shared" si="315"/>
        <v>0</v>
      </c>
      <c r="O220" s="121">
        <f t="shared" si="315"/>
        <v>0</v>
      </c>
      <c r="P220" s="121">
        <f t="shared" si="315"/>
        <v>-96159873.244430721</v>
      </c>
      <c r="Q220" s="121">
        <f t="shared" si="315"/>
        <v>0</v>
      </c>
      <c r="R220" s="121">
        <f t="shared" si="315"/>
        <v>0</v>
      </c>
      <c r="S220" s="121">
        <f t="shared" si="315"/>
        <v>0</v>
      </c>
      <c r="T220" s="121">
        <f t="shared" si="315"/>
        <v>0</v>
      </c>
      <c r="U220" s="121">
        <f t="shared" si="315"/>
        <v>0</v>
      </c>
      <c r="V220" s="121">
        <f t="shared" si="315"/>
        <v>0</v>
      </c>
      <c r="W220" s="121">
        <f t="shared" si="315"/>
        <v>0</v>
      </c>
      <c r="X220" s="121">
        <f t="shared" si="315"/>
        <v>0</v>
      </c>
      <c r="Y220" s="121">
        <f t="shared" si="315"/>
        <v>0</v>
      </c>
      <c r="Z220" s="121">
        <f t="shared" si="315"/>
        <v>0</v>
      </c>
      <c r="AA220" s="121">
        <f t="shared" si="315"/>
        <v>0</v>
      </c>
      <c r="AB220" s="121">
        <f t="shared" si="315"/>
        <v>0</v>
      </c>
      <c r="AC220" s="121">
        <f t="shared" si="315"/>
        <v>0</v>
      </c>
      <c r="AD220" s="121">
        <f t="shared" si="315"/>
        <v>0</v>
      </c>
      <c r="AE220" s="121">
        <f t="shared" si="315"/>
        <v>0</v>
      </c>
      <c r="AF220" s="121">
        <f t="shared" si="315"/>
        <v>0</v>
      </c>
      <c r="AG220" s="121">
        <f t="shared" si="315"/>
        <v>0</v>
      </c>
      <c r="AH220" s="121">
        <f t="shared" si="315"/>
        <v>0</v>
      </c>
      <c r="AI220" s="121">
        <f t="shared" si="315"/>
        <v>0</v>
      </c>
      <c r="AJ220" s="121">
        <f t="shared" si="315"/>
        <v>0</v>
      </c>
      <c r="AK220" s="121">
        <f t="shared" si="315"/>
        <v>0</v>
      </c>
      <c r="AL220" s="121">
        <f t="shared" si="315"/>
        <v>0</v>
      </c>
      <c r="AM220" s="121">
        <f t="shared" si="315"/>
        <v>0</v>
      </c>
      <c r="AN220" s="121">
        <f t="shared" si="315"/>
        <v>0</v>
      </c>
      <c r="AO220" s="121">
        <f t="shared" si="315"/>
        <v>0</v>
      </c>
      <c r="AP220" s="121">
        <f t="shared" si="315"/>
        <v>0</v>
      </c>
      <c r="AQ220" s="121">
        <f t="shared" si="315"/>
        <v>0</v>
      </c>
      <c r="AR220" s="121">
        <f t="shared" si="315"/>
        <v>0</v>
      </c>
      <c r="AS220" s="121">
        <f t="shared" si="315"/>
        <v>0</v>
      </c>
      <c r="AT220" s="121">
        <f t="shared" si="315"/>
        <v>0</v>
      </c>
      <c r="AU220" s="121">
        <f t="shared" si="315"/>
        <v>0</v>
      </c>
    </row>
    <row r="221" spans="4:47" x14ac:dyDescent="0.35">
      <c r="D221" s="45" t="s">
        <v>181</v>
      </c>
      <c r="E221" s="23"/>
      <c r="F221" s="23"/>
      <c r="G221" s="23"/>
      <c r="H221" s="23"/>
      <c r="I221" s="23" t="s">
        <v>114</v>
      </c>
      <c r="J221" s="82">
        <f>SUM(K221:AU221)</f>
        <v>-135343481.52605626</v>
      </c>
      <c r="K221" s="40">
        <f t="shared" ref="K221:AU221" si="316">SUM(K217,K219:K220)</f>
        <v>0</v>
      </c>
      <c r="L221" s="40">
        <f t="shared" si="316"/>
        <v>0</v>
      </c>
      <c r="M221" s="40">
        <f t="shared" si="316"/>
        <v>0</v>
      </c>
      <c r="N221" s="40">
        <f t="shared" si="316"/>
        <v>0</v>
      </c>
      <c r="O221" s="40">
        <f t="shared" si="316"/>
        <v>0</v>
      </c>
      <c r="P221" s="40">
        <f t="shared" si="316"/>
        <v>-96159873.244430721</v>
      </c>
      <c r="Q221" s="40">
        <f t="shared" si="316"/>
        <v>-81688014.342538416</v>
      </c>
      <c r="R221" s="40">
        <f t="shared" si="316"/>
        <v>-67335441.873717546</v>
      </c>
      <c r="S221" s="40">
        <f t="shared" si="316"/>
        <v>-53103904.140272163</v>
      </c>
      <c r="T221" s="40">
        <f t="shared" si="316"/>
        <v>-38995216.777541012</v>
      </c>
      <c r="U221" s="40">
        <f t="shared" si="316"/>
        <v>-25011264.579193152</v>
      </c>
      <c r="V221" s="40">
        <f t="shared" si="316"/>
        <v>-13223336.255384209</v>
      </c>
      <c r="W221" s="40">
        <f t="shared" si="316"/>
        <v>-1321826.2982531581</v>
      </c>
      <c r="X221" s="40">
        <f t="shared" si="316"/>
        <v>10693406.196068944</v>
      </c>
      <c r="Y221" s="40">
        <f t="shared" si="316"/>
        <v>12129059.248288043</v>
      </c>
      <c r="Z221" s="40">
        <f t="shared" si="316"/>
        <v>12242952.015633088</v>
      </c>
      <c r="AA221" s="40">
        <f t="shared" si="316"/>
        <v>12356871.029825214</v>
      </c>
      <c r="AB221" s="40">
        <f t="shared" si="316"/>
        <v>12470774.913057785</v>
      </c>
      <c r="AC221" s="40">
        <f t="shared" si="316"/>
        <v>12584620.626772726</v>
      </c>
      <c r="AD221" s="40">
        <f t="shared" si="316"/>
        <v>12698363.420809768</v>
      </c>
      <c r="AE221" s="40">
        <f t="shared" si="316"/>
        <v>12438622.130272083</v>
      </c>
      <c r="AF221" s="40">
        <f t="shared" si="316"/>
        <v>9047746.6633289568</v>
      </c>
      <c r="AG221" s="40">
        <f t="shared" si="316"/>
        <v>9126950.0010948665</v>
      </c>
      <c r="AH221" s="40">
        <f t="shared" si="316"/>
        <v>9205943.2664055396</v>
      </c>
      <c r="AI221" s="40">
        <f t="shared" si="316"/>
        <v>9284688.5741267037</v>
      </c>
      <c r="AJ221" s="40">
        <f t="shared" si="316"/>
        <v>9363146.6057592072</v>
      </c>
      <c r="AK221" s="40">
        <f t="shared" si="316"/>
        <v>9441276.5663599893</v>
      </c>
      <c r="AL221" s="40">
        <f t="shared" si="316"/>
        <v>9519036.1402780954</v>
      </c>
      <c r="AM221" s="40">
        <f t="shared" si="316"/>
        <v>9596381.4456745647</v>
      </c>
      <c r="AN221" s="40">
        <f t="shared" si="316"/>
        <v>9673266.9877940957</v>
      </c>
      <c r="AO221" s="40">
        <f t="shared" si="316"/>
        <v>9749645.6109556817</v>
      </c>
      <c r="AP221" s="40">
        <f t="shared" si="316"/>
        <v>9825468.4492284656</v>
      </c>
      <c r="AQ221" s="40">
        <f t="shared" si="316"/>
        <v>9900684.875758253</v>
      </c>
      <c r="AR221" s="40">
        <f t="shared" si="316"/>
        <v>9975242.4507092405</v>
      </c>
      <c r="AS221" s="40">
        <f t="shared" si="316"/>
        <v>10049086.867784552</v>
      </c>
      <c r="AT221" s="40">
        <f t="shared" si="316"/>
        <v>10122161.899288278</v>
      </c>
      <c r="AU221" s="40">
        <f t="shared" si="316"/>
        <v>0</v>
      </c>
    </row>
    <row r="223" spans="4:47" x14ac:dyDescent="0.35">
      <c r="D223" s="2" t="s">
        <v>91</v>
      </c>
      <c r="I223" s="16" t="s">
        <v>114</v>
      </c>
      <c r="J223" s="61">
        <f>SUM(K223:AU223)</f>
        <v>-241495395.9852742</v>
      </c>
      <c r="K223" s="38">
        <f>-MAX(K221,0)</f>
        <v>0</v>
      </c>
      <c r="L223" s="38">
        <f t="shared" ref="L223:AU223" si="317">-MAX(L221,0)</f>
        <v>0</v>
      </c>
      <c r="M223" s="38">
        <f t="shared" si="317"/>
        <v>0</v>
      </c>
      <c r="N223" s="38">
        <f t="shared" si="317"/>
        <v>0</v>
      </c>
      <c r="O223" s="38">
        <f t="shared" si="317"/>
        <v>0</v>
      </c>
      <c r="P223" s="38">
        <f t="shared" si="317"/>
        <v>0</v>
      </c>
      <c r="Q223" s="38">
        <f t="shared" si="317"/>
        <v>0</v>
      </c>
      <c r="R223" s="38">
        <f t="shared" si="317"/>
        <v>0</v>
      </c>
      <c r="S223" s="38">
        <f t="shared" si="317"/>
        <v>0</v>
      </c>
      <c r="T223" s="38">
        <f t="shared" si="317"/>
        <v>0</v>
      </c>
      <c r="U223" s="38">
        <f t="shared" si="317"/>
        <v>0</v>
      </c>
      <c r="V223" s="38">
        <f t="shared" si="317"/>
        <v>0</v>
      </c>
      <c r="W223" s="38">
        <f t="shared" si="317"/>
        <v>0</v>
      </c>
      <c r="X223" s="38">
        <f t="shared" si="317"/>
        <v>-10693406.196068944</v>
      </c>
      <c r="Y223" s="38">
        <f t="shared" si="317"/>
        <v>-12129059.248288043</v>
      </c>
      <c r="Z223" s="38">
        <f t="shared" si="317"/>
        <v>-12242952.015633088</v>
      </c>
      <c r="AA223" s="38">
        <f t="shared" si="317"/>
        <v>-12356871.029825214</v>
      </c>
      <c r="AB223" s="38">
        <f t="shared" si="317"/>
        <v>-12470774.913057785</v>
      </c>
      <c r="AC223" s="38">
        <f t="shared" si="317"/>
        <v>-12584620.626772726</v>
      </c>
      <c r="AD223" s="38">
        <f t="shared" si="317"/>
        <v>-12698363.420809768</v>
      </c>
      <c r="AE223" s="38">
        <f t="shared" si="317"/>
        <v>-12438622.130272083</v>
      </c>
      <c r="AF223" s="38">
        <f t="shared" si="317"/>
        <v>-9047746.6633289568</v>
      </c>
      <c r="AG223" s="38">
        <f t="shared" si="317"/>
        <v>-9126950.0010948665</v>
      </c>
      <c r="AH223" s="38">
        <f t="shared" si="317"/>
        <v>-9205943.2664055396</v>
      </c>
      <c r="AI223" s="38">
        <f t="shared" si="317"/>
        <v>-9284688.5741267037</v>
      </c>
      <c r="AJ223" s="38">
        <f t="shared" si="317"/>
        <v>-9363146.6057592072</v>
      </c>
      <c r="AK223" s="38">
        <f t="shared" si="317"/>
        <v>-9441276.5663599893</v>
      </c>
      <c r="AL223" s="38">
        <f t="shared" si="317"/>
        <v>-9519036.1402780954</v>
      </c>
      <c r="AM223" s="38">
        <f t="shared" si="317"/>
        <v>-9596381.4456745647</v>
      </c>
      <c r="AN223" s="38">
        <f t="shared" si="317"/>
        <v>-9673266.9877940957</v>
      </c>
      <c r="AO223" s="38">
        <f t="shared" si="317"/>
        <v>-9749645.6109556817</v>
      </c>
      <c r="AP223" s="38">
        <f t="shared" si="317"/>
        <v>-9825468.4492284656</v>
      </c>
      <c r="AQ223" s="38">
        <f t="shared" si="317"/>
        <v>-9900684.875758253</v>
      </c>
      <c r="AR223" s="38">
        <f t="shared" si="317"/>
        <v>-9975242.4507092405</v>
      </c>
      <c r="AS223" s="38">
        <f t="shared" si="317"/>
        <v>-10049086.867784552</v>
      </c>
      <c r="AT223" s="38">
        <f t="shared" si="317"/>
        <v>-10122161.899288278</v>
      </c>
      <c r="AU223" s="38">
        <f t="shared" si="317"/>
        <v>0</v>
      </c>
    </row>
    <row r="224" spans="4:47" x14ac:dyDescent="0.35">
      <c r="D224" s="3" t="s">
        <v>95</v>
      </c>
      <c r="E224" s="23"/>
      <c r="F224" s="23"/>
      <c r="G224" s="23"/>
      <c r="H224" s="23"/>
      <c r="I224" s="23" t="s">
        <v>114</v>
      </c>
      <c r="J224" s="48"/>
      <c r="K224" s="40">
        <f>SUM(K221,K223)</f>
        <v>0</v>
      </c>
      <c r="L224" s="40">
        <f t="shared" ref="L224:AU224" si="318">SUM(L221,L223)</f>
        <v>0</v>
      </c>
      <c r="M224" s="40">
        <f t="shared" si="318"/>
        <v>0</v>
      </c>
      <c r="N224" s="40">
        <f t="shared" si="318"/>
        <v>0</v>
      </c>
      <c r="O224" s="40">
        <f t="shared" si="318"/>
        <v>0</v>
      </c>
      <c r="P224" s="40">
        <f t="shared" si="318"/>
        <v>-96159873.244430721</v>
      </c>
      <c r="Q224" s="40">
        <f t="shared" si="318"/>
        <v>-81688014.342538416</v>
      </c>
      <c r="R224" s="40">
        <f t="shared" si="318"/>
        <v>-67335441.873717546</v>
      </c>
      <c r="S224" s="40">
        <f t="shared" si="318"/>
        <v>-53103904.140272163</v>
      </c>
      <c r="T224" s="40">
        <f t="shared" si="318"/>
        <v>-38995216.777541012</v>
      </c>
      <c r="U224" s="40">
        <f t="shared" si="318"/>
        <v>-25011264.579193152</v>
      </c>
      <c r="V224" s="40">
        <f t="shared" si="318"/>
        <v>-13223336.255384209</v>
      </c>
      <c r="W224" s="40">
        <f t="shared" si="318"/>
        <v>-1321826.2982531581</v>
      </c>
      <c r="X224" s="40">
        <f t="shared" si="318"/>
        <v>0</v>
      </c>
      <c r="Y224" s="40">
        <f t="shared" si="318"/>
        <v>0</v>
      </c>
      <c r="Z224" s="40">
        <f t="shared" si="318"/>
        <v>0</v>
      </c>
      <c r="AA224" s="40">
        <f t="shared" si="318"/>
        <v>0</v>
      </c>
      <c r="AB224" s="40">
        <f t="shared" si="318"/>
        <v>0</v>
      </c>
      <c r="AC224" s="40">
        <f t="shared" si="318"/>
        <v>0</v>
      </c>
      <c r="AD224" s="40">
        <f t="shared" si="318"/>
        <v>0</v>
      </c>
      <c r="AE224" s="40">
        <f t="shared" si="318"/>
        <v>0</v>
      </c>
      <c r="AF224" s="40">
        <f t="shared" si="318"/>
        <v>0</v>
      </c>
      <c r="AG224" s="40">
        <f t="shared" si="318"/>
        <v>0</v>
      </c>
      <c r="AH224" s="40">
        <f t="shared" si="318"/>
        <v>0</v>
      </c>
      <c r="AI224" s="40">
        <f t="shared" si="318"/>
        <v>0</v>
      </c>
      <c r="AJ224" s="40">
        <f t="shared" si="318"/>
        <v>0</v>
      </c>
      <c r="AK224" s="40">
        <f t="shared" si="318"/>
        <v>0</v>
      </c>
      <c r="AL224" s="40">
        <f t="shared" si="318"/>
        <v>0</v>
      </c>
      <c r="AM224" s="40">
        <f t="shared" si="318"/>
        <v>0</v>
      </c>
      <c r="AN224" s="40">
        <f t="shared" si="318"/>
        <v>0</v>
      </c>
      <c r="AO224" s="40">
        <f t="shared" si="318"/>
        <v>0</v>
      </c>
      <c r="AP224" s="40">
        <f t="shared" si="318"/>
        <v>0</v>
      </c>
      <c r="AQ224" s="40">
        <f t="shared" si="318"/>
        <v>0</v>
      </c>
      <c r="AR224" s="40">
        <f t="shared" si="318"/>
        <v>0</v>
      </c>
      <c r="AS224" s="40">
        <f t="shared" si="318"/>
        <v>0</v>
      </c>
      <c r="AT224" s="40">
        <f t="shared" si="318"/>
        <v>0</v>
      </c>
      <c r="AU224" s="40">
        <f t="shared" si="318"/>
        <v>0</v>
      </c>
    </row>
    <row r="225" spans="2:47" s="57" customFormat="1" x14ac:dyDescent="0.35">
      <c r="B225" s="77"/>
      <c r="C225" s="91"/>
      <c r="D225" s="92" t="s">
        <v>93</v>
      </c>
      <c r="E225" s="58"/>
      <c r="F225" s="58"/>
      <c r="G225" s="58"/>
      <c r="H225" s="58"/>
      <c r="I225" s="58"/>
      <c r="J225" s="113">
        <f>SUM(K225:AU225)</f>
        <v>8</v>
      </c>
      <c r="K225" s="112">
        <f>(K224&lt;0) * 1</f>
        <v>0</v>
      </c>
      <c r="L225" s="112">
        <f t="shared" ref="L225:AU225" si="319">(L224&lt;0) * 1</f>
        <v>0</v>
      </c>
      <c r="M225" s="112">
        <f t="shared" si="319"/>
        <v>0</v>
      </c>
      <c r="N225" s="112">
        <f t="shared" si="319"/>
        <v>0</v>
      </c>
      <c r="O225" s="112">
        <f t="shared" si="319"/>
        <v>0</v>
      </c>
      <c r="P225" s="112">
        <f t="shared" si="319"/>
        <v>1</v>
      </c>
      <c r="Q225" s="112">
        <f t="shared" si="319"/>
        <v>1</v>
      </c>
      <c r="R225" s="112">
        <f t="shared" si="319"/>
        <v>1</v>
      </c>
      <c r="S225" s="112">
        <f t="shared" si="319"/>
        <v>1</v>
      </c>
      <c r="T225" s="112">
        <f t="shared" si="319"/>
        <v>1</v>
      </c>
      <c r="U225" s="112">
        <f t="shared" si="319"/>
        <v>1</v>
      </c>
      <c r="V225" s="112">
        <f t="shared" si="319"/>
        <v>1</v>
      </c>
      <c r="W225" s="112">
        <f t="shared" si="319"/>
        <v>1</v>
      </c>
      <c r="X225" s="112">
        <f t="shared" si="319"/>
        <v>0</v>
      </c>
      <c r="Y225" s="112">
        <f t="shared" si="319"/>
        <v>0</v>
      </c>
      <c r="Z225" s="112">
        <f t="shared" si="319"/>
        <v>0</v>
      </c>
      <c r="AA225" s="112">
        <f t="shared" si="319"/>
        <v>0</v>
      </c>
      <c r="AB225" s="112">
        <f t="shared" si="319"/>
        <v>0</v>
      </c>
      <c r="AC225" s="112">
        <f t="shared" si="319"/>
        <v>0</v>
      </c>
      <c r="AD225" s="112">
        <f t="shared" si="319"/>
        <v>0</v>
      </c>
      <c r="AE225" s="112">
        <f t="shared" si="319"/>
        <v>0</v>
      </c>
      <c r="AF225" s="112">
        <f t="shared" si="319"/>
        <v>0</v>
      </c>
      <c r="AG225" s="112">
        <f t="shared" si="319"/>
        <v>0</v>
      </c>
      <c r="AH225" s="112">
        <f t="shared" si="319"/>
        <v>0</v>
      </c>
      <c r="AI225" s="112">
        <f t="shared" si="319"/>
        <v>0</v>
      </c>
      <c r="AJ225" s="112">
        <f t="shared" si="319"/>
        <v>0</v>
      </c>
      <c r="AK225" s="112">
        <f t="shared" si="319"/>
        <v>0</v>
      </c>
      <c r="AL225" s="112">
        <f t="shared" si="319"/>
        <v>0</v>
      </c>
      <c r="AM225" s="112">
        <f t="shared" si="319"/>
        <v>0</v>
      </c>
      <c r="AN225" s="112">
        <f t="shared" si="319"/>
        <v>0</v>
      </c>
      <c r="AO225" s="112">
        <f t="shared" si="319"/>
        <v>0</v>
      </c>
      <c r="AP225" s="112">
        <f t="shared" si="319"/>
        <v>0</v>
      </c>
      <c r="AQ225" s="112">
        <f t="shared" si="319"/>
        <v>0</v>
      </c>
      <c r="AR225" s="112">
        <f t="shared" si="319"/>
        <v>0</v>
      </c>
      <c r="AS225" s="112">
        <f t="shared" si="319"/>
        <v>0</v>
      </c>
      <c r="AT225" s="112">
        <f t="shared" si="319"/>
        <v>0</v>
      </c>
      <c r="AU225" s="112">
        <f t="shared" si="319"/>
        <v>0</v>
      </c>
    </row>
    <row r="227" spans="2:47" x14ac:dyDescent="0.35">
      <c r="B227" s="2"/>
      <c r="D227" s="39" t="s">
        <v>92</v>
      </c>
      <c r="E227" s="18"/>
      <c r="F227" s="18"/>
      <c r="G227" s="18"/>
      <c r="H227" s="18"/>
      <c r="I227" s="18" t="s">
        <v>114</v>
      </c>
      <c r="J227" s="83">
        <f>SUM(K227:AU227)</f>
        <v>0</v>
      </c>
      <c r="K227" s="62">
        <f t="shared" ref="K227:AU227" si="320">K224-K204</f>
        <v>0</v>
      </c>
      <c r="L227" s="62">
        <f t="shared" si="320"/>
        <v>0</v>
      </c>
      <c r="M227" s="62">
        <f t="shared" si="320"/>
        <v>0</v>
      </c>
      <c r="N227" s="62">
        <f t="shared" si="320"/>
        <v>0</v>
      </c>
      <c r="O227" s="62">
        <f t="shared" si="320"/>
        <v>0</v>
      </c>
      <c r="P227" s="62">
        <f t="shared" si="320"/>
        <v>-96159873.244430721</v>
      </c>
      <c r="Q227" s="62">
        <f t="shared" si="320"/>
        <v>14471858.901892304</v>
      </c>
      <c r="R227" s="62">
        <f t="shared" si="320"/>
        <v>14352572.46882087</v>
      </c>
      <c r="S227" s="62">
        <f t="shared" si="320"/>
        <v>14231537.733445384</v>
      </c>
      <c r="T227" s="62">
        <f t="shared" si="320"/>
        <v>14108687.362731151</v>
      </c>
      <c r="U227" s="62">
        <f t="shared" si="320"/>
        <v>13983952.198347859</v>
      </c>
      <c r="V227" s="62">
        <f t="shared" si="320"/>
        <v>11787928.323808944</v>
      </c>
      <c r="W227" s="62">
        <f t="shared" si="320"/>
        <v>11901509.957131051</v>
      </c>
      <c r="X227" s="62">
        <f t="shared" si="320"/>
        <v>1321826.2982531581</v>
      </c>
      <c r="Y227" s="62">
        <f t="shared" si="320"/>
        <v>0</v>
      </c>
      <c r="Z227" s="62">
        <f t="shared" si="320"/>
        <v>0</v>
      </c>
      <c r="AA227" s="62">
        <f t="shared" si="320"/>
        <v>0</v>
      </c>
      <c r="AB227" s="62">
        <f t="shared" si="320"/>
        <v>0</v>
      </c>
      <c r="AC227" s="62">
        <f t="shared" si="320"/>
        <v>0</v>
      </c>
      <c r="AD227" s="62">
        <f t="shared" si="320"/>
        <v>0</v>
      </c>
      <c r="AE227" s="62">
        <f t="shared" si="320"/>
        <v>0</v>
      </c>
      <c r="AF227" s="62">
        <f t="shared" si="320"/>
        <v>0</v>
      </c>
      <c r="AG227" s="62">
        <f t="shared" si="320"/>
        <v>0</v>
      </c>
      <c r="AH227" s="62">
        <f t="shared" si="320"/>
        <v>0</v>
      </c>
      <c r="AI227" s="62">
        <f t="shared" si="320"/>
        <v>0</v>
      </c>
      <c r="AJ227" s="62">
        <f t="shared" si="320"/>
        <v>0</v>
      </c>
      <c r="AK227" s="62">
        <f t="shared" si="320"/>
        <v>0</v>
      </c>
      <c r="AL227" s="62">
        <f t="shared" si="320"/>
        <v>0</v>
      </c>
      <c r="AM227" s="62">
        <f t="shared" si="320"/>
        <v>0</v>
      </c>
      <c r="AN227" s="62">
        <f t="shared" si="320"/>
        <v>0</v>
      </c>
      <c r="AO227" s="62">
        <f t="shared" si="320"/>
        <v>0</v>
      </c>
      <c r="AP227" s="62">
        <f t="shared" si="320"/>
        <v>0</v>
      </c>
      <c r="AQ227" s="62">
        <f t="shared" si="320"/>
        <v>0</v>
      </c>
      <c r="AR227" s="62">
        <f t="shared" si="320"/>
        <v>0</v>
      </c>
      <c r="AS227" s="62">
        <f t="shared" si="320"/>
        <v>0</v>
      </c>
      <c r="AT227" s="62">
        <f t="shared" si="320"/>
        <v>0</v>
      </c>
      <c r="AU227" s="62">
        <f t="shared" si="320"/>
        <v>0</v>
      </c>
    </row>
    <row r="229" spans="2:47" x14ac:dyDescent="0.35">
      <c r="C229" s="5" t="s">
        <v>190</v>
      </c>
    </row>
    <row r="230" spans="2:47" x14ac:dyDescent="0.35">
      <c r="D230" s="8" t="str">
        <f>D206</f>
        <v>EBITDA</v>
      </c>
      <c r="I230" s="16" t="s">
        <v>114</v>
      </c>
      <c r="J230" s="61">
        <f t="shared" ref="J230:J235" si="321">SUM(K230:AU230)</f>
        <v>473783665.93627751</v>
      </c>
      <c r="K230" s="38">
        <f>K206</f>
        <v>0</v>
      </c>
      <c r="L230" s="38">
        <f t="shared" ref="L230:AU233" si="322">L206</f>
        <v>15044301.311999999</v>
      </c>
      <c r="M230" s="38">
        <f t="shared" si="322"/>
        <v>14932807.016908802</v>
      </c>
      <c r="N230" s="38">
        <f t="shared" si="322"/>
        <v>14819875.328743938</v>
      </c>
      <c r="O230" s="38">
        <f t="shared" si="322"/>
        <v>14705447.35098901</v>
      </c>
      <c r="P230" s="38">
        <f t="shared" si="322"/>
        <v>14589462.587966301</v>
      </c>
      <c r="Q230" s="38">
        <f t="shared" si="322"/>
        <v>14471858.90189231</v>
      </c>
      <c r="R230" s="38">
        <f t="shared" si="322"/>
        <v>14352572.468820866</v>
      </c>
      <c r="S230" s="38">
        <f t="shared" si="322"/>
        <v>14231537.733445384</v>
      </c>
      <c r="T230" s="38">
        <f t="shared" si="322"/>
        <v>14108687.362731151</v>
      </c>
      <c r="U230" s="38">
        <f t="shared" si="322"/>
        <v>13983952.198347859</v>
      </c>
      <c r="V230" s="38">
        <f t="shared" si="322"/>
        <v>11787928.323808944</v>
      </c>
      <c r="W230" s="38">
        <f t="shared" si="322"/>
        <v>11901509.957131051</v>
      </c>
      <c r="X230" s="38">
        <f t="shared" si="322"/>
        <v>12015232.494322103</v>
      </c>
      <c r="Y230" s="38">
        <f t="shared" si="322"/>
        <v>12129059.248288043</v>
      </c>
      <c r="Z230" s="38">
        <f t="shared" si="322"/>
        <v>12242952.015633088</v>
      </c>
      <c r="AA230" s="38">
        <f t="shared" si="322"/>
        <v>12356871.029825214</v>
      </c>
      <c r="AB230" s="38">
        <f t="shared" si="322"/>
        <v>12470774.913057785</v>
      </c>
      <c r="AC230" s="38">
        <f t="shared" si="322"/>
        <v>12584620.626772726</v>
      </c>
      <c r="AD230" s="38">
        <f t="shared" si="322"/>
        <v>12698363.420809768</v>
      </c>
      <c r="AE230" s="38">
        <f t="shared" si="322"/>
        <v>12811956.781145427</v>
      </c>
      <c r="AF230" s="38">
        <f t="shared" si="322"/>
        <v>12925352.376184225</v>
      </c>
      <c r="AG230" s="38">
        <f t="shared" si="322"/>
        <v>13038500.001564095</v>
      </c>
      <c r="AH230" s="38">
        <f t="shared" si="322"/>
        <v>13151347.523436485</v>
      </c>
      <c r="AI230" s="38">
        <f t="shared" si="322"/>
        <v>13263840.820181005</v>
      </c>
      <c r="AJ230" s="38">
        <f t="shared" si="322"/>
        <v>13375923.722513154</v>
      </c>
      <c r="AK230" s="38">
        <f t="shared" si="322"/>
        <v>13487537.951942842</v>
      </c>
      <c r="AL230" s="38">
        <f t="shared" si="322"/>
        <v>13598623.057540135</v>
      </c>
      <c r="AM230" s="38">
        <f t="shared" si="322"/>
        <v>13709116.350963663</v>
      </c>
      <c r="AN230" s="38">
        <f t="shared" si="322"/>
        <v>13818952.839705851</v>
      </c>
      <c r="AO230" s="38">
        <f t="shared" si="322"/>
        <v>13928065.158508116</v>
      </c>
      <c r="AP230" s="38">
        <f t="shared" si="322"/>
        <v>14036383.49889781</v>
      </c>
      <c r="AQ230" s="38">
        <f t="shared" si="322"/>
        <v>14143835.536797505</v>
      </c>
      <c r="AR230" s="38">
        <f t="shared" si="322"/>
        <v>14250346.358156057</v>
      </c>
      <c r="AS230" s="38">
        <f t="shared" si="322"/>
        <v>14355838.38254936</v>
      </c>
      <c r="AT230" s="38">
        <f t="shared" si="322"/>
        <v>14460231.28469754</v>
      </c>
      <c r="AU230" s="38">
        <f t="shared" si="322"/>
        <v>0</v>
      </c>
    </row>
    <row r="231" spans="2:47" x14ac:dyDescent="0.35">
      <c r="D231" s="8" t="str">
        <f t="shared" ref="D231:D233" si="323">D207</f>
        <v>Total capital expenditure</v>
      </c>
      <c r="I231" s="16" t="s">
        <v>114</v>
      </c>
      <c r="J231" s="61">
        <f t="shared" si="321"/>
        <v>-220000000</v>
      </c>
      <c r="K231" s="38">
        <f t="shared" ref="K231:Z233" si="324">K207</f>
        <v>-220000000</v>
      </c>
      <c r="L231" s="38">
        <f t="shared" si="324"/>
        <v>0</v>
      </c>
      <c r="M231" s="38">
        <f t="shared" si="324"/>
        <v>0</v>
      </c>
      <c r="N231" s="38">
        <f t="shared" si="324"/>
        <v>0</v>
      </c>
      <c r="O231" s="38">
        <f t="shared" si="324"/>
        <v>0</v>
      </c>
      <c r="P231" s="38">
        <f t="shared" si="324"/>
        <v>0</v>
      </c>
      <c r="Q231" s="38">
        <f t="shared" si="324"/>
        <v>0</v>
      </c>
      <c r="R231" s="38">
        <f t="shared" si="324"/>
        <v>0</v>
      </c>
      <c r="S231" s="38">
        <f t="shared" si="324"/>
        <v>0</v>
      </c>
      <c r="T231" s="38">
        <f t="shared" si="324"/>
        <v>0</v>
      </c>
      <c r="U231" s="38">
        <f t="shared" si="324"/>
        <v>0</v>
      </c>
      <c r="V231" s="38">
        <f t="shared" si="324"/>
        <v>0</v>
      </c>
      <c r="W231" s="38">
        <f t="shared" si="324"/>
        <v>0</v>
      </c>
      <c r="X231" s="38">
        <f t="shared" si="324"/>
        <v>0</v>
      </c>
      <c r="Y231" s="38">
        <f t="shared" si="324"/>
        <v>0</v>
      </c>
      <c r="Z231" s="38">
        <f t="shared" si="324"/>
        <v>0</v>
      </c>
      <c r="AA231" s="38">
        <f t="shared" si="322"/>
        <v>0</v>
      </c>
      <c r="AB231" s="38">
        <f t="shared" si="322"/>
        <v>0</v>
      </c>
      <c r="AC231" s="38">
        <f t="shared" si="322"/>
        <v>0</v>
      </c>
      <c r="AD231" s="38">
        <f t="shared" si="322"/>
        <v>0</v>
      </c>
      <c r="AE231" s="38">
        <f t="shared" si="322"/>
        <v>0</v>
      </c>
      <c r="AF231" s="38">
        <f t="shared" si="322"/>
        <v>0</v>
      </c>
      <c r="AG231" s="38">
        <f t="shared" si="322"/>
        <v>0</v>
      </c>
      <c r="AH231" s="38">
        <f t="shared" si="322"/>
        <v>0</v>
      </c>
      <c r="AI231" s="38">
        <f t="shared" si="322"/>
        <v>0</v>
      </c>
      <c r="AJ231" s="38">
        <f t="shared" si="322"/>
        <v>0</v>
      </c>
      <c r="AK231" s="38">
        <f t="shared" si="322"/>
        <v>0</v>
      </c>
      <c r="AL231" s="38">
        <f t="shared" si="322"/>
        <v>0</v>
      </c>
      <c r="AM231" s="38">
        <f t="shared" si="322"/>
        <v>0</v>
      </c>
      <c r="AN231" s="38">
        <f t="shared" si="322"/>
        <v>0</v>
      </c>
      <c r="AO231" s="38">
        <f t="shared" si="322"/>
        <v>0</v>
      </c>
      <c r="AP231" s="38">
        <f t="shared" si="322"/>
        <v>0</v>
      </c>
      <c r="AQ231" s="38">
        <f t="shared" si="322"/>
        <v>0</v>
      </c>
      <c r="AR231" s="38">
        <f t="shared" si="322"/>
        <v>0</v>
      </c>
      <c r="AS231" s="38">
        <f t="shared" si="322"/>
        <v>0</v>
      </c>
      <c r="AT231" s="38">
        <f t="shared" si="322"/>
        <v>0</v>
      </c>
      <c r="AU231" s="38">
        <f t="shared" si="322"/>
        <v>0</v>
      </c>
    </row>
    <row r="232" spans="2:47" x14ac:dyDescent="0.35">
      <c r="D232" s="8" t="str">
        <f t="shared" si="323"/>
        <v>Interest during construction</v>
      </c>
      <c r="I232" s="16" t="s">
        <v>114</v>
      </c>
      <c r="J232" s="61">
        <f t="shared" si="321"/>
        <v>-8568629.8388254847</v>
      </c>
      <c r="K232" s="38">
        <f t="shared" si="324"/>
        <v>-8568629.8388254847</v>
      </c>
      <c r="L232" s="38">
        <f t="shared" si="322"/>
        <v>0</v>
      </c>
      <c r="M232" s="38">
        <f t="shared" si="322"/>
        <v>0</v>
      </c>
      <c r="N232" s="38">
        <f t="shared" si="322"/>
        <v>0</v>
      </c>
      <c r="O232" s="38">
        <f t="shared" si="322"/>
        <v>0</v>
      </c>
      <c r="P232" s="38">
        <f t="shared" si="322"/>
        <v>0</v>
      </c>
      <c r="Q232" s="38">
        <f t="shared" si="322"/>
        <v>0</v>
      </c>
      <c r="R232" s="38">
        <f t="shared" si="322"/>
        <v>0</v>
      </c>
      <c r="S232" s="38">
        <f t="shared" si="322"/>
        <v>0</v>
      </c>
      <c r="T232" s="38">
        <f t="shared" si="322"/>
        <v>0</v>
      </c>
      <c r="U232" s="38">
        <f t="shared" si="322"/>
        <v>0</v>
      </c>
      <c r="V232" s="38">
        <f t="shared" si="322"/>
        <v>0</v>
      </c>
      <c r="W232" s="38">
        <f t="shared" si="322"/>
        <v>0</v>
      </c>
      <c r="X232" s="38">
        <f t="shared" si="322"/>
        <v>0</v>
      </c>
      <c r="Y232" s="38">
        <f t="shared" si="322"/>
        <v>0</v>
      </c>
      <c r="Z232" s="38">
        <f t="shared" si="322"/>
        <v>0</v>
      </c>
      <c r="AA232" s="38">
        <f t="shared" si="322"/>
        <v>0</v>
      </c>
      <c r="AB232" s="38">
        <f t="shared" si="322"/>
        <v>0</v>
      </c>
      <c r="AC232" s="38">
        <f t="shared" si="322"/>
        <v>0</v>
      </c>
      <c r="AD232" s="38">
        <f t="shared" si="322"/>
        <v>0</v>
      </c>
      <c r="AE232" s="38">
        <f t="shared" si="322"/>
        <v>0</v>
      </c>
      <c r="AF232" s="38">
        <f t="shared" si="322"/>
        <v>0</v>
      </c>
      <c r="AG232" s="38">
        <f t="shared" si="322"/>
        <v>0</v>
      </c>
      <c r="AH232" s="38">
        <f t="shared" si="322"/>
        <v>0</v>
      </c>
      <c r="AI232" s="38">
        <f t="shared" si="322"/>
        <v>0</v>
      </c>
      <c r="AJ232" s="38">
        <f t="shared" si="322"/>
        <v>0</v>
      </c>
      <c r="AK232" s="38">
        <f t="shared" si="322"/>
        <v>0</v>
      </c>
      <c r="AL232" s="38">
        <f t="shared" si="322"/>
        <v>0</v>
      </c>
      <c r="AM232" s="38">
        <f t="shared" si="322"/>
        <v>0</v>
      </c>
      <c r="AN232" s="38">
        <f t="shared" si="322"/>
        <v>0</v>
      </c>
      <c r="AO232" s="38">
        <f t="shared" si="322"/>
        <v>0</v>
      </c>
      <c r="AP232" s="38">
        <f t="shared" si="322"/>
        <v>0</v>
      </c>
      <c r="AQ232" s="38">
        <f t="shared" si="322"/>
        <v>0</v>
      </c>
      <c r="AR232" s="38">
        <f t="shared" si="322"/>
        <v>0</v>
      </c>
      <c r="AS232" s="38">
        <f t="shared" si="322"/>
        <v>0</v>
      </c>
      <c r="AT232" s="38">
        <f t="shared" si="322"/>
        <v>0</v>
      </c>
      <c r="AU232" s="38">
        <f t="shared" si="322"/>
        <v>0</v>
      </c>
    </row>
    <row r="233" spans="2:47" x14ac:dyDescent="0.35">
      <c r="D233" s="8" t="str">
        <f t="shared" si="323"/>
        <v>Changes in working capital</v>
      </c>
      <c r="I233" s="16" t="s">
        <v>114</v>
      </c>
      <c r="J233" s="61">
        <f t="shared" si="321"/>
        <v>0</v>
      </c>
      <c r="K233" s="38">
        <f t="shared" si="324"/>
        <v>0</v>
      </c>
      <c r="L233" s="38">
        <f t="shared" si="322"/>
        <v>0</v>
      </c>
      <c r="M233" s="38">
        <f t="shared" si="322"/>
        <v>0</v>
      </c>
      <c r="N233" s="38">
        <f t="shared" si="322"/>
        <v>0</v>
      </c>
      <c r="O233" s="38">
        <f t="shared" si="322"/>
        <v>0</v>
      </c>
      <c r="P233" s="38">
        <f t="shared" si="322"/>
        <v>0</v>
      </c>
      <c r="Q233" s="38">
        <f t="shared" si="322"/>
        <v>0</v>
      </c>
      <c r="R233" s="38">
        <f t="shared" si="322"/>
        <v>0</v>
      </c>
      <c r="S233" s="38">
        <f t="shared" si="322"/>
        <v>0</v>
      </c>
      <c r="T233" s="38">
        <f t="shared" si="322"/>
        <v>0</v>
      </c>
      <c r="U233" s="38">
        <f t="shared" si="322"/>
        <v>0</v>
      </c>
      <c r="V233" s="38">
        <f t="shared" si="322"/>
        <v>0</v>
      </c>
      <c r="W233" s="38">
        <f t="shared" si="322"/>
        <v>0</v>
      </c>
      <c r="X233" s="38">
        <f t="shared" si="322"/>
        <v>0</v>
      </c>
      <c r="Y233" s="38">
        <f t="shared" si="322"/>
        <v>0</v>
      </c>
      <c r="Z233" s="38">
        <f t="shared" si="322"/>
        <v>0</v>
      </c>
      <c r="AA233" s="38">
        <f t="shared" si="322"/>
        <v>0</v>
      </c>
      <c r="AB233" s="38">
        <f t="shared" si="322"/>
        <v>0</v>
      </c>
      <c r="AC233" s="38">
        <f t="shared" si="322"/>
        <v>0</v>
      </c>
      <c r="AD233" s="38">
        <f t="shared" si="322"/>
        <v>0</v>
      </c>
      <c r="AE233" s="38">
        <f t="shared" si="322"/>
        <v>0</v>
      </c>
      <c r="AF233" s="38">
        <f t="shared" si="322"/>
        <v>0</v>
      </c>
      <c r="AG233" s="38">
        <f t="shared" si="322"/>
        <v>0</v>
      </c>
      <c r="AH233" s="38">
        <f t="shared" si="322"/>
        <v>0</v>
      </c>
      <c r="AI233" s="38">
        <f t="shared" si="322"/>
        <v>0</v>
      </c>
      <c r="AJ233" s="38">
        <f t="shared" si="322"/>
        <v>0</v>
      </c>
      <c r="AK233" s="38">
        <f t="shared" si="322"/>
        <v>0</v>
      </c>
      <c r="AL233" s="38">
        <f t="shared" si="322"/>
        <v>0</v>
      </c>
      <c r="AM233" s="38">
        <f t="shared" si="322"/>
        <v>0</v>
      </c>
      <c r="AN233" s="38">
        <f t="shared" si="322"/>
        <v>0</v>
      </c>
      <c r="AO233" s="38">
        <f t="shared" si="322"/>
        <v>0</v>
      </c>
      <c r="AP233" s="38">
        <f t="shared" si="322"/>
        <v>0</v>
      </c>
      <c r="AQ233" s="38">
        <f t="shared" si="322"/>
        <v>0</v>
      </c>
      <c r="AR233" s="38">
        <f t="shared" si="322"/>
        <v>0</v>
      </c>
      <c r="AS233" s="38">
        <f t="shared" si="322"/>
        <v>0</v>
      </c>
      <c r="AT233" s="38">
        <f t="shared" si="322"/>
        <v>0</v>
      </c>
      <c r="AU233" s="38">
        <f t="shared" si="322"/>
        <v>0</v>
      </c>
    </row>
    <row r="234" spans="2:47" x14ac:dyDescent="0.35">
      <c r="D234" s="8" t="str">
        <f>D102</f>
        <v>Unlevered tax expense</v>
      </c>
      <c r="I234" s="16" t="s">
        <v>114</v>
      </c>
      <c r="J234" s="61">
        <f t="shared" si="321"/>
        <v>-73564510.829235643</v>
      </c>
      <c r="K234" s="38">
        <f t="shared" ref="K234:AU234" si="325">-K102</f>
        <v>0</v>
      </c>
      <c r="L234" s="38">
        <f t="shared" si="325"/>
        <v>-1084760.9460176171</v>
      </c>
      <c r="M234" s="38">
        <f t="shared" si="325"/>
        <v>-1051312.6574902581</v>
      </c>
      <c r="N234" s="38">
        <f t="shared" si="325"/>
        <v>-1017433.151040799</v>
      </c>
      <c r="O234" s="38">
        <f t="shared" si="325"/>
        <v>-983104.75771432044</v>
      </c>
      <c r="P234" s="38">
        <f t="shared" si="325"/>
        <v>-948309.32880750764</v>
      </c>
      <c r="Q234" s="38">
        <f t="shared" si="325"/>
        <v>-913028.22298531048</v>
      </c>
      <c r="R234" s="38">
        <f t="shared" si="325"/>
        <v>-877242.29306387727</v>
      </c>
      <c r="S234" s="38">
        <f t="shared" si="325"/>
        <v>-840931.87245123251</v>
      </c>
      <c r="T234" s="38">
        <f t="shared" si="325"/>
        <v>-804076.76123696286</v>
      </c>
      <c r="U234" s="38">
        <f t="shared" si="325"/>
        <v>-766656.21192197513</v>
      </c>
      <c r="V234" s="38">
        <f t="shared" si="325"/>
        <v>-107849.04956030063</v>
      </c>
      <c r="W234" s="38">
        <f t="shared" si="325"/>
        <v>-141923.53955693264</v>
      </c>
      <c r="X234" s="38">
        <f t="shared" si="325"/>
        <v>-176040.30071424824</v>
      </c>
      <c r="Y234" s="38">
        <f t="shared" si="325"/>
        <v>-210188.32690403031</v>
      </c>
      <c r="Z234" s="38">
        <f t="shared" si="325"/>
        <v>-244356.15710754375</v>
      </c>
      <c r="AA234" s="38">
        <f t="shared" si="325"/>
        <v>-278531.86136518174</v>
      </c>
      <c r="AB234" s="38">
        <f t="shared" si="325"/>
        <v>-312703.02633495309</v>
      </c>
      <c r="AC234" s="38">
        <f t="shared" si="325"/>
        <v>-346856.74044943525</v>
      </c>
      <c r="AD234" s="38">
        <f t="shared" si="325"/>
        <v>-380979.57866054791</v>
      </c>
      <c r="AE234" s="38">
        <f t="shared" si="325"/>
        <v>-415057.58676124568</v>
      </c>
      <c r="AF234" s="38">
        <f t="shared" si="325"/>
        <v>-3877605.7128552673</v>
      </c>
      <c r="AG234" s="38">
        <f t="shared" si="325"/>
        <v>-3911550.0004692283</v>
      </c>
      <c r="AH234" s="38">
        <f t="shared" si="325"/>
        <v>-3945404.2570309453</v>
      </c>
      <c r="AI234" s="38">
        <f t="shared" si="325"/>
        <v>-3979152.246054301</v>
      </c>
      <c r="AJ234" s="38">
        <f t="shared" si="325"/>
        <v>-4012777.1167539461</v>
      </c>
      <c r="AK234" s="38">
        <f t="shared" si="325"/>
        <v>-4046261.3855828526</v>
      </c>
      <c r="AL234" s="38">
        <f t="shared" si="325"/>
        <v>-4079586.9172620405</v>
      </c>
      <c r="AM234" s="38">
        <f t="shared" si="325"/>
        <v>-4112734.9052890986</v>
      </c>
      <c r="AN234" s="38">
        <f t="shared" si="325"/>
        <v>-4145685.8519117553</v>
      </c>
      <c r="AO234" s="38">
        <f t="shared" si="325"/>
        <v>-4178419.5475524347</v>
      </c>
      <c r="AP234" s="38">
        <f t="shared" si="325"/>
        <v>-4210915.049669343</v>
      </c>
      <c r="AQ234" s="38">
        <f t="shared" si="325"/>
        <v>-4243150.6610392509</v>
      </c>
      <c r="AR234" s="38">
        <f t="shared" si="325"/>
        <v>-4275103.9074468166</v>
      </c>
      <c r="AS234" s="38">
        <f t="shared" si="325"/>
        <v>-4306751.5147648081</v>
      </c>
      <c r="AT234" s="38">
        <f t="shared" si="325"/>
        <v>-4338069.385409262</v>
      </c>
      <c r="AU234" s="38">
        <f t="shared" si="325"/>
        <v>0</v>
      </c>
    </row>
    <row r="235" spans="2:47" x14ac:dyDescent="0.35">
      <c r="D235" s="3" t="s">
        <v>189</v>
      </c>
      <c r="E235" s="23"/>
      <c r="F235" s="23"/>
      <c r="G235" s="23"/>
      <c r="H235" s="23"/>
      <c r="I235" s="23" t="s">
        <v>114</v>
      </c>
      <c r="J235" s="82">
        <f t="shared" si="321"/>
        <v>171650525.26821652</v>
      </c>
      <c r="K235" s="40">
        <f>SUM(K230:K234)</f>
        <v>-228568629.83882549</v>
      </c>
      <c r="L235" s="40">
        <f t="shared" ref="L235:AU235" si="326">SUM(L230:L234)</f>
        <v>13959540.365982382</v>
      </c>
      <c r="M235" s="40">
        <f t="shared" si="326"/>
        <v>13881494.359418545</v>
      </c>
      <c r="N235" s="40">
        <f t="shared" si="326"/>
        <v>13802442.177703138</v>
      </c>
      <c r="O235" s="40">
        <f t="shared" si="326"/>
        <v>13722342.59327469</v>
      </c>
      <c r="P235" s="40">
        <f t="shared" si="326"/>
        <v>13641153.259158794</v>
      </c>
      <c r="Q235" s="40">
        <f t="shared" si="326"/>
        <v>13558830.678907</v>
      </c>
      <c r="R235" s="40">
        <f t="shared" si="326"/>
        <v>13475330.175756989</v>
      </c>
      <c r="S235" s="40">
        <f t="shared" si="326"/>
        <v>13390605.860994151</v>
      </c>
      <c r="T235" s="40">
        <f t="shared" si="326"/>
        <v>13304610.601494189</v>
      </c>
      <c r="U235" s="40">
        <f t="shared" si="326"/>
        <v>13217295.986425884</v>
      </c>
      <c r="V235" s="40">
        <f t="shared" si="326"/>
        <v>11680079.274248643</v>
      </c>
      <c r="W235" s="40">
        <f t="shared" si="326"/>
        <v>11759586.417574119</v>
      </c>
      <c r="X235" s="40">
        <f t="shared" si="326"/>
        <v>11839192.193607854</v>
      </c>
      <c r="Y235" s="40">
        <f t="shared" si="326"/>
        <v>11918870.921384012</v>
      </c>
      <c r="Z235" s="40">
        <f t="shared" si="326"/>
        <v>11998595.858525544</v>
      </c>
      <c r="AA235" s="40">
        <f t="shared" si="326"/>
        <v>12078339.168460032</v>
      </c>
      <c r="AB235" s="40">
        <f t="shared" si="326"/>
        <v>12158071.886722833</v>
      </c>
      <c r="AC235" s="40">
        <f t="shared" si="326"/>
        <v>12237763.88632329</v>
      </c>
      <c r="AD235" s="40">
        <f t="shared" si="326"/>
        <v>12317383.84214922</v>
      </c>
      <c r="AE235" s="40">
        <f t="shared" si="326"/>
        <v>12396899.194384182</v>
      </c>
      <c r="AF235" s="40">
        <f t="shared" si="326"/>
        <v>9047746.6633289568</v>
      </c>
      <c r="AG235" s="40">
        <f t="shared" si="326"/>
        <v>9126950.0010948665</v>
      </c>
      <c r="AH235" s="40">
        <f t="shared" si="326"/>
        <v>9205943.2664055396</v>
      </c>
      <c r="AI235" s="40">
        <f t="shared" si="326"/>
        <v>9284688.5741267037</v>
      </c>
      <c r="AJ235" s="40">
        <f t="shared" si="326"/>
        <v>9363146.6057592072</v>
      </c>
      <c r="AK235" s="40">
        <f t="shared" si="326"/>
        <v>9441276.5663599893</v>
      </c>
      <c r="AL235" s="40">
        <f t="shared" si="326"/>
        <v>9519036.1402780954</v>
      </c>
      <c r="AM235" s="40">
        <f t="shared" si="326"/>
        <v>9596381.4456745647</v>
      </c>
      <c r="AN235" s="40">
        <f t="shared" si="326"/>
        <v>9673266.9877940957</v>
      </c>
      <c r="AO235" s="40">
        <f t="shared" si="326"/>
        <v>9749645.6109556817</v>
      </c>
      <c r="AP235" s="40">
        <f t="shared" si="326"/>
        <v>9825468.4492284656</v>
      </c>
      <c r="AQ235" s="40">
        <f t="shared" si="326"/>
        <v>9900684.875758253</v>
      </c>
      <c r="AR235" s="40">
        <f t="shared" si="326"/>
        <v>9975242.4507092405</v>
      </c>
      <c r="AS235" s="40">
        <f t="shared" si="326"/>
        <v>10049086.867784552</v>
      </c>
      <c r="AT235" s="40">
        <f t="shared" si="326"/>
        <v>10122161.899288278</v>
      </c>
      <c r="AU235" s="40">
        <f t="shared" si="326"/>
        <v>0</v>
      </c>
    </row>
    <row r="236" spans="2:47" x14ac:dyDescent="0.35">
      <c r="D236" s="42" t="s">
        <v>191</v>
      </c>
      <c r="E236" s="114">
        <f>XIRR(K235:AU235,K$5:AU$5)</f>
        <v>3.8598629832267764E-2</v>
      </c>
      <c r="F236" s="47"/>
      <c r="G236" s="47"/>
      <c r="H236" s="47"/>
      <c r="I236" s="47"/>
      <c r="J236" s="47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</row>
    <row r="238" spans="2:47" x14ac:dyDescent="0.35">
      <c r="C238" s="5" t="s">
        <v>112</v>
      </c>
    </row>
    <row r="239" spans="2:47" x14ac:dyDescent="0.35">
      <c r="D239" s="8" t="str">
        <f>D214</f>
        <v>Debt drawdown</v>
      </c>
      <c r="I239" s="16" t="s">
        <v>114</v>
      </c>
      <c r="J239" s="61">
        <f t="shared" ref="J239:J244" si="327">SUM(K239:AU239)</f>
        <v>-131825074.44346899</v>
      </c>
      <c r="K239" s="38">
        <f t="shared" ref="K239:AU239" si="328">-K214</f>
        <v>-131825074.44346899</v>
      </c>
      <c r="L239" s="38">
        <f t="shared" si="328"/>
        <v>0</v>
      </c>
      <c r="M239" s="38">
        <f t="shared" si="328"/>
        <v>0</v>
      </c>
      <c r="N239" s="38">
        <f t="shared" si="328"/>
        <v>0</v>
      </c>
      <c r="O239" s="38">
        <f t="shared" si="328"/>
        <v>0</v>
      </c>
      <c r="P239" s="38">
        <f t="shared" si="328"/>
        <v>0</v>
      </c>
      <c r="Q239" s="38">
        <f t="shared" si="328"/>
        <v>0</v>
      </c>
      <c r="R239" s="38">
        <f t="shared" si="328"/>
        <v>0</v>
      </c>
      <c r="S239" s="38">
        <f t="shared" si="328"/>
        <v>0</v>
      </c>
      <c r="T239" s="38">
        <f t="shared" si="328"/>
        <v>0</v>
      </c>
      <c r="U239" s="38">
        <f t="shared" si="328"/>
        <v>0</v>
      </c>
      <c r="V239" s="38">
        <f t="shared" si="328"/>
        <v>0</v>
      </c>
      <c r="W239" s="38">
        <f t="shared" si="328"/>
        <v>0</v>
      </c>
      <c r="X239" s="38">
        <f t="shared" si="328"/>
        <v>0</v>
      </c>
      <c r="Y239" s="38">
        <f t="shared" si="328"/>
        <v>0</v>
      </c>
      <c r="Z239" s="38">
        <f t="shared" si="328"/>
        <v>0</v>
      </c>
      <c r="AA239" s="38">
        <f t="shared" si="328"/>
        <v>0</v>
      </c>
      <c r="AB239" s="38">
        <f t="shared" si="328"/>
        <v>0</v>
      </c>
      <c r="AC239" s="38">
        <f t="shared" si="328"/>
        <v>0</v>
      </c>
      <c r="AD239" s="38">
        <f t="shared" si="328"/>
        <v>0</v>
      </c>
      <c r="AE239" s="38">
        <f t="shared" si="328"/>
        <v>0</v>
      </c>
      <c r="AF239" s="38">
        <f t="shared" si="328"/>
        <v>0</v>
      </c>
      <c r="AG239" s="38">
        <f t="shared" si="328"/>
        <v>0</v>
      </c>
      <c r="AH239" s="38">
        <f t="shared" si="328"/>
        <v>0</v>
      </c>
      <c r="AI239" s="38">
        <f t="shared" si="328"/>
        <v>0</v>
      </c>
      <c r="AJ239" s="38">
        <f t="shared" si="328"/>
        <v>0</v>
      </c>
      <c r="AK239" s="38">
        <f t="shared" si="328"/>
        <v>0</v>
      </c>
      <c r="AL239" s="38">
        <f t="shared" si="328"/>
        <v>0</v>
      </c>
      <c r="AM239" s="38">
        <f t="shared" si="328"/>
        <v>0</v>
      </c>
      <c r="AN239" s="38">
        <f t="shared" si="328"/>
        <v>0</v>
      </c>
      <c r="AO239" s="38">
        <f t="shared" si="328"/>
        <v>0</v>
      </c>
      <c r="AP239" s="38">
        <f t="shared" si="328"/>
        <v>0</v>
      </c>
      <c r="AQ239" s="38">
        <f t="shared" si="328"/>
        <v>0</v>
      </c>
      <c r="AR239" s="38">
        <f t="shared" si="328"/>
        <v>0</v>
      </c>
      <c r="AS239" s="38">
        <f t="shared" si="328"/>
        <v>0</v>
      </c>
      <c r="AT239" s="38">
        <f t="shared" si="328"/>
        <v>0</v>
      </c>
      <c r="AU239" s="38">
        <f t="shared" si="328"/>
        <v>0</v>
      </c>
    </row>
    <row r="240" spans="2:47" x14ac:dyDescent="0.35">
      <c r="D240" s="8" t="str">
        <f>D216</f>
        <v>Interest paid</v>
      </c>
      <c r="I240" s="16" t="s">
        <v>114</v>
      </c>
      <c r="J240" s="61">
        <f t="shared" si="327"/>
        <v>38426692.397569783</v>
      </c>
      <c r="K240" s="38">
        <f t="shared" ref="K240:AU240" si="329">-K216</f>
        <v>0</v>
      </c>
      <c r="L240" s="38">
        <f t="shared" si="329"/>
        <v>8568629.8388254847</v>
      </c>
      <c r="M240" s="38">
        <f t="shared" si="329"/>
        <v>8147711.1930691414</v>
      </c>
      <c r="N240" s="38">
        <f t="shared" si="329"/>
        <v>7706679.9645195631</v>
      </c>
      <c r="O240" s="38">
        <f t="shared" si="329"/>
        <v>7244322.2658449784</v>
      </c>
      <c r="P240" s="38">
        <f t="shared" si="329"/>
        <v>6759349.1353106163</v>
      </c>
      <c r="Q240" s="38">
        <f t="shared" si="329"/>
        <v>0</v>
      </c>
      <c r="R240" s="38">
        <f t="shared" si="329"/>
        <v>0</v>
      </c>
      <c r="S240" s="38">
        <f t="shared" si="329"/>
        <v>0</v>
      </c>
      <c r="T240" s="38">
        <f t="shared" si="329"/>
        <v>0</v>
      </c>
      <c r="U240" s="38">
        <f t="shared" si="329"/>
        <v>0</v>
      </c>
      <c r="V240" s="38">
        <f t="shared" si="329"/>
        <v>0</v>
      </c>
      <c r="W240" s="38">
        <f t="shared" si="329"/>
        <v>0</v>
      </c>
      <c r="X240" s="38">
        <f t="shared" si="329"/>
        <v>0</v>
      </c>
      <c r="Y240" s="38">
        <f t="shared" si="329"/>
        <v>0</v>
      </c>
      <c r="Z240" s="38">
        <f t="shared" si="329"/>
        <v>0</v>
      </c>
      <c r="AA240" s="38">
        <f t="shared" si="329"/>
        <v>0</v>
      </c>
      <c r="AB240" s="38">
        <f t="shared" si="329"/>
        <v>0</v>
      </c>
      <c r="AC240" s="38">
        <f t="shared" si="329"/>
        <v>0</v>
      </c>
      <c r="AD240" s="38">
        <f t="shared" si="329"/>
        <v>0</v>
      </c>
      <c r="AE240" s="38">
        <f t="shared" si="329"/>
        <v>0</v>
      </c>
      <c r="AF240" s="38">
        <f t="shared" si="329"/>
        <v>0</v>
      </c>
      <c r="AG240" s="38">
        <f t="shared" si="329"/>
        <v>0</v>
      </c>
      <c r="AH240" s="38">
        <f t="shared" si="329"/>
        <v>0</v>
      </c>
      <c r="AI240" s="38">
        <f t="shared" si="329"/>
        <v>0</v>
      </c>
      <c r="AJ240" s="38">
        <f t="shared" si="329"/>
        <v>0</v>
      </c>
      <c r="AK240" s="38">
        <f t="shared" si="329"/>
        <v>0</v>
      </c>
      <c r="AL240" s="38">
        <f t="shared" si="329"/>
        <v>0</v>
      </c>
      <c r="AM240" s="38">
        <f t="shared" si="329"/>
        <v>0</v>
      </c>
      <c r="AN240" s="38">
        <f t="shared" si="329"/>
        <v>0</v>
      </c>
      <c r="AO240" s="38">
        <f t="shared" si="329"/>
        <v>0</v>
      </c>
      <c r="AP240" s="38">
        <f t="shared" si="329"/>
        <v>0</v>
      </c>
      <c r="AQ240" s="38">
        <f t="shared" si="329"/>
        <v>0</v>
      </c>
      <c r="AR240" s="38">
        <f t="shared" si="329"/>
        <v>0</v>
      </c>
      <c r="AS240" s="38">
        <f t="shared" si="329"/>
        <v>0</v>
      </c>
      <c r="AT240" s="38">
        <f t="shared" si="329"/>
        <v>0</v>
      </c>
      <c r="AU240" s="38">
        <f t="shared" si="329"/>
        <v>0</v>
      </c>
    </row>
    <row r="241" spans="1:47" x14ac:dyDescent="0.35">
      <c r="D241" s="8" t="str">
        <f>D215</f>
        <v>Scheduled repayment</v>
      </c>
      <c r="I241" s="16" t="s">
        <v>114</v>
      </c>
      <c r="J241" s="61">
        <f t="shared" si="327"/>
        <v>15609381.836841011</v>
      </c>
      <c r="K241" s="38">
        <f t="shared" ref="K241:AU241" si="330">-K215</f>
        <v>0</v>
      </c>
      <c r="L241" s="38">
        <f t="shared" si="330"/>
        <v>2238585.0080566742</v>
      </c>
      <c r="M241" s="38">
        <f t="shared" si="330"/>
        <v>2659503.6538130175</v>
      </c>
      <c r="N241" s="38">
        <f t="shared" si="330"/>
        <v>3100534.8823625958</v>
      </c>
      <c r="O241" s="38">
        <f t="shared" si="330"/>
        <v>3562892.5810371805</v>
      </c>
      <c r="P241" s="38">
        <f t="shared" si="330"/>
        <v>4047865.7115715425</v>
      </c>
      <c r="Q241" s="38">
        <f t="shared" si="330"/>
        <v>0</v>
      </c>
      <c r="R241" s="38">
        <f t="shared" si="330"/>
        <v>0</v>
      </c>
      <c r="S241" s="38">
        <f t="shared" si="330"/>
        <v>0</v>
      </c>
      <c r="T241" s="38">
        <f t="shared" si="330"/>
        <v>0</v>
      </c>
      <c r="U241" s="38">
        <f t="shared" si="330"/>
        <v>0</v>
      </c>
      <c r="V241" s="38">
        <f t="shared" si="330"/>
        <v>0</v>
      </c>
      <c r="W241" s="38">
        <f t="shared" si="330"/>
        <v>0</v>
      </c>
      <c r="X241" s="38">
        <f t="shared" si="330"/>
        <v>0</v>
      </c>
      <c r="Y241" s="38">
        <f t="shared" si="330"/>
        <v>0</v>
      </c>
      <c r="Z241" s="38">
        <f t="shared" si="330"/>
        <v>0</v>
      </c>
      <c r="AA241" s="38">
        <f t="shared" si="330"/>
        <v>0</v>
      </c>
      <c r="AB241" s="38">
        <f t="shared" si="330"/>
        <v>0</v>
      </c>
      <c r="AC241" s="38">
        <f t="shared" si="330"/>
        <v>0</v>
      </c>
      <c r="AD241" s="38">
        <f t="shared" si="330"/>
        <v>0</v>
      </c>
      <c r="AE241" s="38">
        <f t="shared" si="330"/>
        <v>0</v>
      </c>
      <c r="AF241" s="38">
        <f t="shared" si="330"/>
        <v>0</v>
      </c>
      <c r="AG241" s="38">
        <f t="shared" si="330"/>
        <v>0</v>
      </c>
      <c r="AH241" s="38">
        <f t="shared" si="330"/>
        <v>0</v>
      </c>
      <c r="AI241" s="38">
        <f t="shared" si="330"/>
        <v>0</v>
      </c>
      <c r="AJ241" s="38">
        <f t="shared" si="330"/>
        <v>0</v>
      </c>
      <c r="AK241" s="38">
        <f t="shared" si="330"/>
        <v>0</v>
      </c>
      <c r="AL241" s="38">
        <f t="shared" si="330"/>
        <v>0</v>
      </c>
      <c r="AM241" s="38">
        <f t="shared" si="330"/>
        <v>0</v>
      </c>
      <c r="AN241" s="38">
        <f t="shared" si="330"/>
        <v>0</v>
      </c>
      <c r="AO241" s="38">
        <f t="shared" si="330"/>
        <v>0</v>
      </c>
      <c r="AP241" s="38">
        <f t="shared" si="330"/>
        <v>0</v>
      </c>
      <c r="AQ241" s="38">
        <f t="shared" si="330"/>
        <v>0</v>
      </c>
      <c r="AR241" s="38">
        <f t="shared" si="330"/>
        <v>0</v>
      </c>
      <c r="AS241" s="38">
        <f t="shared" si="330"/>
        <v>0</v>
      </c>
      <c r="AT241" s="38">
        <f t="shared" si="330"/>
        <v>0</v>
      </c>
      <c r="AU241" s="38">
        <f t="shared" si="330"/>
        <v>0</v>
      </c>
    </row>
    <row r="242" spans="1:47" x14ac:dyDescent="0.35">
      <c r="D242" s="8" t="str">
        <f>D219</f>
        <v>Cash sweep prepayment</v>
      </c>
      <c r="I242" s="16" t="s">
        <v>114</v>
      </c>
      <c r="J242" s="61">
        <f t="shared" si="327"/>
        <v>20055819.362197254</v>
      </c>
      <c r="K242" s="38">
        <f t="shared" ref="K242:AU242" si="331">-K219</f>
        <v>0</v>
      </c>
      <c r="L242" s="38">
        <f t="shared" si="331"/>
        <v>4237086.4651178401</v>
      </c>
      <c r="M242" s="38">
        <f t="shared" si="331"/>
        <v>4125592.1700266432</v>
      </c>
      <c r="N242" s="38">
        <f t="shared" si="331"/>
        <v>4012660.4818617785</v>
      </c>
      <c r="O242" s="38">
        <f t="shared" si="331"/>
        <v>3898232.5041068513</v>
      </c>
      <c r="P242" s="38">
        <f t="shared" si="331"/>
        <v>3782247.7410841417</v>
      </c>
      <c r="Q242" s="38">
        <f t="shared" si="331"/>
        <v>0</v>
      </c>
      <c r="R242" s="38">
        <f t="shared" si="331"/>
        <v>0</v>
      </c>
      <c r="S242" s="38">
        <f t="shared" si="331"/>
        <v>0</v>
      </c>
      <c r="T242" s="38">
        <f t="shared" si="331"/>
        <v>0</v>
      </c>
      <c r="U242" s="38">
        <f t="shared" si="331"/>
        <v>0</v>
      </c>
      <c r="V242" s="38">
        <f t="shared" si="331"/>
        <v>0</v>
      </c>
      <c r="W242" s="38">
        <f t="shared" si="331"/>
        <v>0</v>
      </c>
      <c r="X242" s="38">
        <f t="shared" si="331"/>
        <v>0</v>
      </c>
      <c r="Y242" s="38">
        <f t="shared" si="331"/>
        <v>0</v>
      </c>
      <c r="Z242" s="38">
        <f t="shared" si="331"/>
        <v>0</v>
      </c>
      <c r="AA242" s="38">
        <f t="shared" si="331"/>
        <v>0</v>
      </c>
      <c r="AB242" s="38">
        <f t="shared" si="331"/>
        <v>0</v>
      </c>
      <c r="AC242" s="38">
        <f t="shared" si="331"/>
        <v>0</v>
      </c>
      <c r="AD242" s="38">
        <f t="shared" si="331"/>
        <v>0</v>
      </c>
      <c r="AE242" s="38">
        <f t="shared" si="331"/>
        <v>0</v>
      </c>
      <c r="AF242" s="38">
        <f t="shared" si="331"/>
        <v>0</v>
      </c>
      <c r="AG242" s="38">
        <f t="shared" si="331"/>
        <v>0</v>
      </c>
      <c r="AH242" s="38">
        <f t="shared" si="331"/>
        <v>0</v>
      </c>
      <c r="AI242" s="38">
        <f t="shared" si="331"/>
        <v>0</v>
      </c>
      <c r="AJ242" s="38">
        <f t="shared" si="331"/>
        <v>0</v>
      </c>
      <c r="AK242" s="38">
        <f t="shared" si="331"/>
        <v>0</v>
      </c>
      <c r="AL242" s="38">
        <f t="shared" si="331"/>
        <v>0</v>
      </c>
      <c r="AM242" s="38">
        <f t="shared" si="331"/>
        <v>0</v>
      </c>
      <c r="AN242" s="38">
        <f t="shared" si="331"/>
        <v>0</v>
      </c>
      <c r="AO242" s="38">
        <f t="shared" si="331"/>
        <v>0</v>
      </c>
      <c r="AP242" s="38">
        <f t="shared" si="331"/>
        <v>0</v>
      </c>
      <c r="AQ242" s="38">
        <f t="shared" si="331"/>
        <v>0</v>
      </c>
      <c r="AR242" s="38">
        <f t="shared" si="331"/>
        <v>0</v>
      </c>
      <c r="AS242" s="38">
        <f t="shared" si="331"/>
        <v>0</v>
      </c>
      <c r="AT242" s="38">
        <f t="shared" si="331"/>
        <v>0</v>
      </c>
      <c r="AU242" s="38">
        <f t="shared" si="331"/>
        <v>0</v>
      </c>
    </row>
    <row r="243" spans="1:47" x14ac:dyDescent="0.35">
      <c r="D243" s="8" t="str">
        <f>D220</f>
        <v>Bullet repayment</v>
      </c>
      <c r="I243" s="16" t="s">
        <v>114</v>
      </c>
      <c r="J243" s="61">
        <f t="shared" si="327"/>
        <v>96159873.244430721</v>
      </c>
      <c r="K243" s="38">
        <f t="shared" ref="K243:AU243" si="332">-K220</f>
        <v>0</v>
      </c>
      <c r="L243" s="38">
        <f t="shared" si="332"/>
        <v>0</v>
      </c>
      <c r="M243" s="38">
        <f t="shared" si="332"/>
        <v>0</v>
      </c>
      <c r="N243" s="38">
        <f t="shared" si="332"/>
        <v>0</v>
      </c>
      <c r="O243" s="38">
        <f t="shared" si="332"/>
        <v>0</v>
      </c>
      <c r="P243" s="38">
        <f t="shared" si="332"/>
        <v>96159873.244430721</v>
      </c>
      <c r="Q243" s="38">
        <f t="shared" si="332"/>
        <v>0</v>
      </c>
      <c r="R243" s="38">
        <f t="shared" si="332"/>
        <v>0</v>
      </c>
      <c r="S243" s="38">
        <f t="shared" si="332"/>
        <v>0</v>
      </c>
      <c r="T243" s="38">
        <f t="shared" si="332"/>
        <v>0</v>
      </c>
      <c r="U243" s="38">
        <f t="shared" si="332"/>
        <v>0</v>
      </c>
      <c r="V243" s="38">
        <f t="shared" si="332"/>
        <v>0</v>
      </c>
      <c r="W243" s="38">
        <f t="shared" si="332"/>
        <v>0</v>
      </c>
      <c r="X243" s="38">
        <f t="shared" si="332"/>
        <v>0</v>
      </c>
      <c r="Y243" s="38">
        <f t="shared" si="332"/>
        <v>0</v>
      </c>
      <c r="Z243" s="38">
        <f t="shared" si="332"/>
        <v>0</v>
      </c>
      <c r="AA243" s="38">
        <f t="shared" si="332"/>
        <v>0</v>
      </c>
      <c r="AB243" s="38">
        <f t="shared" si="332"/>
        <v>0</v>
      </c>
      <c r="AC243" s="38">
        <f t="shared" si="332"/>
        <v>0</v>
      </c>
      <c r="AD243" s="38">
        <f t="shared" si="332"/>
        <v>0</v>
      </c>
      <c r="AE243" s="38">
        <f t="shared" si="332"/>
        <v>0</v>
      </c>
      <c r="AF243" s="38">
        <f t="shared" si="332"/>
        <v>0</v>
      </c>
      <c r="AG243" s="38">
        <f t="shared" si="332"/>
        <v>0</v>
      </c>
      <c r="AH243" s="38">
        <f t="shared" si="332"/>
        <v>0</v>
      </c>
      <c r="AI243" s="38">
        <f t="shared" si="332"/>
        <v>0</v>
      </c>
      <c r="AJ243" s="38">
        <f t="shared" si="332"/>
        <v>0</v>
      </c>
      <c r="AK243" s="38">
        <f t="shared" si="332"/>
        <v>0</v>
      </c>
      <c r="AL243" s="38">
        <f t="shared" si="332"/>
        <v>0</v>
      </c>
      <c r="AM243" s="38">
        <f t="shared" si="332"/>
        <v>0</v>
      </c>
      <c r="AN243" s="38">
        <f t="shared" si="332"/>
        <v>0</v>
      </c>
      <c r="AO243" s="38">
        <f t="shared" si="332"/>
        <v>0</v>
      </c>
      <c r="AP243" s="38">
        <f t="shared" si="332"/>
        <v>0</v>
      </c>
      <c r="AQ243" s="38">
        <f t="shared" si="332"/>
        <v>0</v>
      </c>
      <c r="AR243" s="38">
        <f t="shared" si="332"/>
        <v>0</v>
      </c>
      <c r="AS243" s="38">
        <f t="shared" si="332"/>
        <v>0</v>
      </c>
      <c r="AT243" s="38">
        <f t="shared" si="332"/>
        <v>0</v>
      </c>
      <c r="AU243" s="38">
        <f t="shared" si="332"/>
        <v>0</v>
      </c>
    </row>
    <row r="244" spans="1:47" x14ac:dyDescent="0.35">
      <c r="D244" s="39" t="s">
        <v>108</v>
      </c>
      <c r="E244" s="18"/>
      <c r="F244" s="18"/>
      <c r="G244" s="18"/>
      <c r="H244" s="18"/>
      <c r="I244" s="18" t="s">
        <v>114</v>
      </c>
      <c r="J244" s="83">
        <f t="shared" si="327"/>
        <v>38426692.397569776</v>
      </c>
      <c r="K244" s="62">
        <f>SUM(K239:K243)</f>
        <v>-131825074.44346899</v>
      </c>
      <c r="L244" s="62">
        <f t="shared" ref="L244:AU244" si="333">SUM(L239:L243)</f>
        <v>15044301.311999999</v>
      </c>
      <c r="M244" s="62">
        <f t="shared" si="333"/>
        <v>14932807.016908802</v>
      </c>
      <c r="N244" s="62">
        <f t="shared" si="333"/>
        <v>14819875.328743938</v>
      </c>
      <c r="O244" s="62">
        <f t="shared" si="333"/>
        <v>14705447.35098901</v>
      </c>
      <c r="P244" s="62">
        <f t="shared" si="333"/>
        <v>110749335.83239701</v>
      </c>
      <c r="Q244" s="62">
        <f t="shared" si="333"/>
        <v>0</v>
      </c>
      <c r="R244" s="62">
        <f t="shared" si="333"/>
        <v>0</v>
      </c>
      <c r="S244" s="62">
        <f t="shared" si="333"/>
        <v>0</v>
      </c>
      <c r="T244" s="62">
        <f t="shared" si="333"/>
        <v>0</v>
      </c>
      <c r="U244" s="62">
        <f t="shared" si="333"/>
        <v>0</v>
      </c>
      <c r="V244" s="62">
        <f t="shared" si="333"/>
        <v>0</v>
      </c>
      <c r="W244" s="62">
        <f t="shared" si="333"/>
        <v>0</v>
      </c>
      <c r="X244" s="62">
        <f t="shared" si="333"/>
        <v>0</v>
      </c>
      <c r="Y244" s="62">
        <f t="shared" si="333"/>
        <v>0</v>
      </c>
      <c r="Z244" s="62">
        <f t="shared" si="333"/>
        <v>0</v>
      </c>
      <c r="AA244" s="62">
        <f t="shared" si="333"/>
        <v>0</v>
      </c>
      <c r="AB244" s="62">
        <f t="shared" si="333"/>
        <v>0</v>
      </c>
      <c r="AC244" s="62">
        <f t="shared" si="333"/>
        <v>0</v>
      </c>
      <c r="AD244" s="62">
        <f t="shared" si="333"/>
        <v>0</v>
      </c>
      <c r="AE244" s="62">
        <f t="shared" si="333"/>
        <v>0</v>
      </c>
      <c r="AF244" s="62">
        <f t="shared" si="333"/>
        <v>0</v>
      </c>
      <c r="AG244" s="62">
        <f t="shared" si="333"/>
        <v>0</v>
      </c>
      <c r="AH244" s="62">
        <f t="shared" si="333"/>
        <v>0</v>
      </c>
      <c r="AI244" s="62">
        <f t="shared" si="333"/>
        <v>0</v>
      </c>
      <c r="AJ244" s="62">
        <f t="shared" si="333"/>
        <v>0</v>
      </c>
      <c r="AK244" s="62">
        <f t="shared" si="333"/>
        <v>0</v>
      </c>
      <c r="AL244" s="62">
        <f t="shared" si="333"/>
        <v>0</v>
      </c>
      <c r="AM244" s="62">
        <f t="shared" si="333"/>
        <v>0</v>
      </c>
      <c r="AN244" s="62">
        <f t="shared" si="333"/>
        <v>0</v>
      </c>
      <c r="AO244" s="62">
        <f t="shared" si="333"/>
        <v>0</v>
      </c>
      <c r="AP244" s="62">
        <f t="shared" si="333"/>
        <v>0</v>
      </c>
      <c r="AQ244" s="62">
        <f t="shared" si="333"/>
        <v>0</v>
      </c>
      <c r="AR244" s="62">
        <f t="shared" si="333"/>
        <v>0</v>
      </c>
      <c r="AS244" s="62">
        <f t="shared" si="333"/>
        <v>0</v>
      </c>
      <c r="AT244" s="62">
        <f t="shared" si="333"/>
        <v>0</v>
      </c>
      <c r="AU244" s="62">
        <f t="shared" si="333"/>
        <v>0</v>
      </c>
    </row>
    <row r="245" spans="1:47" x14ac:dyDescent="0.35">
      <c r="D245" s="42" t="s">
        <v>110</v>
      </c>
      <c r="E245" s="114">
        <f>XIRR(K244:AU244,K$5:AU$5)</f>
        <v>6.4925959706306463E-2</v>
      </c>
      <c r="F245" s="47"/>
      <c r="G245" s="47"/>
      <c r="H245" s="47"/>
      <c r="I245" s="47"/>
      <c r="J245" s="47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</row>
    <row r="246" spans="1:47" x14ac:dyDescent="0.35">
      <c r="L246" s="37"/>
    </row>
    <row r="247" spans="1:47" x14ac:dyDescent="0.35">
      <c r="C247" s="5" t="s">
        <v>98</v>
      </c>
    </row>
    <row r="248" spans="1:47" x14ac:dyDescent="0.35">
      <c r="D248" s="8" t="str">
        <f>D200</f>
        <v>Equity contribution</v>
      </c>
      <c r="I248" s="16" t="s">
        <v>114</v>
      </c>
      <c r="J248" s="61">
        <f>SUM(K248:AU248)</f>
        <v>-96743555.395356506</v>
      </c>
      <c r="K248" s="38">
        <f t="shared" ref="K248:AU248" si="334">-K213</f>
        <v>-96743555.395356506</v>
      </c>
      <c r="L248" s="38">
        <f t="shared" si="334"/>
        <v>0</v>
      </c>
      <c r="M248" s="38">
        <f t="shared" si="334"/>
        <v>0</v>
      </c>
      <c r="N248" s="38">
        <f t="shared" si="334"/>
        <v>0</v>
      </c>
      <c r="O248" s="38">
        <f t="shared" si="334"/>
        <v>0</v>
      </c>
      <c r="P248" s="38">
        <f t="shared" si="334"/>
        <v>0</v>
      </c>
      <c r="Q248" s="38">
        <f t="shared" si="334"/>
        <v>0</v>
      </c>
      <c r="R248" s="38">
        <f t="shared" si="334"/>
        <v>0</v>
      </c>
      <c r="S248" s="38">
        <f t="shared" si="334"/>
        <v>0</v>
      </c>
      <c r="T248" s="38">
        <f t="shared" si="334"/>
        <v>0</v>
      </c>
      <c r="U248" s="38">
        <f t="shared" si="334"/>
        <v>0</v>
      </c>
      <c r="V248" s="38">
        <f t="shared" si="334"/>
        <v>0</v>
      </c>
      <c r="W248" s="38">
        <f t="shared" si="334"/>
        <v>0</v>
      </c>
      <c r="X248" s="38">
        <f t="shared" si="334"/>
        <v>0</v>
      </c>
      <c r="Y248" s="38">
        <f t="shared" si="334"/>
        <v>0</v>
      </c>
      <c r="Z248" s="38">
        <f t="shared" si="334"/>
        <v>0</v>
      </c>
      <c r="AA248" s="38">
        <f t="shared" si="334"/>
        <v>0</v>
      </c>
      <c r="AB248" s="38">
        <f t="shared" si="334"/>
        <v>0</v>
      </c>
      <c r="AC248" s="38">
        <f t="shared" si="334"/>
        <v>0</v>
      </c>
      <c r="AD248" s="38">
        <f t="shared" si="334"/>
        <v>0</v>
      </c>
      <c r="AE248" s="38">
        <f t="shared" si="334"/>
        <v>0</v>
      </c>
      <c r="AF248" s="38">
        <f t="shared" si="334"/>
        <v>0</v>
      </c>
      <c r="AG248" s="38">
        <f t="shared" si="334"/>
        <v>0</v>
      </c>
      <c r="AH248" s="38">
        <f t="shared" si="334"/>
        <v>0</v>
      </c>
      <c r="AI248" s="38">
        <f t="shared" si="334"/>
        <v>0</v>
      </c>
      <c r="AJ248" s="38">
        <f t="shared" si="334"/>
        <v>0</v>
      </c>
      <c r="AK248" s="38">
        <f t="shared" si="334"/>
        <v>0</v>
      </c>
      <c r="AL248" s="38">
        <f t="shared" si="334"/>
        <v>0</v>
      </c>
      <c r="AM248" s="38">
        <f t="shared" si="334"/>
        <v>0</v>
      </c>
      <c r="AN248" s="38">
        <f t="shared" si="334"/>
        <v>0</v>
      </c>
      <c r="AO248" s="38">
        <f t="shared" si="334"/>
        <v>0</v>
      </c>
      <c r="AP248" s="38">
        <f t="shared" si="334"/>
        <v>0</v>
      </c>
      <c r="AQ248" s="38">
        <f t="shared" si="334"/>
        <v>0</v>
      </c>
      <c r="AR248" s="38">
        <f t="shared" si="334"/>
        <v>0</v>
      </c>
      <c r="AS248" s="38">
        <f t="shared" si="334"/>
        <v>0</v>
      </c>
      <c r="AT248" s="38">
        <f t="shared" si="334"/>
        <v>0</v>
      </c>
      <c r="AU248" s="38">
        <f t="shared" si="334"/>
        <v>0</v>
      </c>
    </row>
    <row r="249" spans="1:47" x14ac:dyDescent="0.35">
      <c r="D249" s="8" t="str">
        <f>D223</f>
        <v>Dividends</v>
      </c>
      <c r="I249" s="16" t="s">
        <v>114</v>
      </c>
      <c r="J249" s="61">
        <f>SUM(K249:AU249)</f>
        <v>241495395.9852742</v>
      </c>
      <c r="K249" s="38">
        <f>-K223</f>
        <v>0</v>
      </c>
      <c r="L249" s="38">
        <f t="shared" ref="L249:AU249" si="335">-L223</f>
        <v>0</v>
      </c>
      <c r="M249" s="38">
        <f t="shared" si="335"/>
        <v>0</v>
      </c>
      <c r="N249" s="38">
        <f t="shared" si="335"/>
        <v>0</v>
      </c>
      <c r="O249" s="38">
        <f t="shared" si="335"/>
        <v>0</v>
      </c>
      <c r="P249" s="38">
        <f t="shared" si="335"/>
        <v>0</v>
      </c>
      <c r="Q249" s="38">
        <f t="shared" si="335"/>
        <v>0</v>
      </c>
      <c r="R249" s="38">
        <f t="shared" si="335"/>
        <v>0</v>
      </c>
      <c r="S249" s="38">
        <f t="shared" si="335"/>
        <v>0</v>
      </c>
      <c r="T249" s="38">
        <f t="shared" si="335"/>
        <v>0</v>
      </c>
      <c r="U249" s="38">
        <f t="shared" si="335"/>
        <v>0</v>
      </c>
      <c r="V249" s="38">
        <f t="shared" si="335"/>
        <v>0</v>
      </c>
      <c r="W249" s="38">
        <f t="shared" si="335"/>
        <v>0</v>
      </c>
      <c r="X249" s="38">
        <f t="shared" si="335"/>
        <v>10693406.196068944</v>
      </c>
      <c r="Y249" s="38">
        <f t="shared" si="335"/>
        <v>12129059.248288043</v>
      </c>
      <c r="Z249" s="38">
        <f t="shared" si="335"/>
        <v>12242952.015633088</v>
      </c>
      <c r="AA249" s="38">
        <f t="shared" si="335"/>
        <v>12356871.029825214</v>
      </c>
      <c r="AB249" s="38">
        <f t="shared" si="335"/>
        <v>12470774.913057785</v>
      </c>
      <c r="AC249" s="38">
        <f t="shared" si="335"/>
        <v>12584620.626772726</v>
      </c>
      <c r="AD249" s="38">
        <f t="shared" si="335"/>
        <v>12698363.420809768</v>
      </c>
      <c r="AE249" s="38">
        <f t="shared" si="335"/>
        <v>12438622.130272083</v>
      </c>
      <c r="AF249" s="38">
        <f t="shared" si="335"/>
        <v>9047746.6633289568</v>
      </c>
      <c r="AG249" s="38">
        <f t="shared" si="335"/>
        <v>9126950.0010948665</v>
      </c>
      <c r="AH249" s="38">
        <f t="shared" si="335"/>
        <v>9205943.2664055396</v>
      </c>
      <c r="AI249" s="38">
        <f t="shared" si="335"/>
        <v>9284688.5741267037</v>
      </c>
      <c r="AJ249" s="38">
        <f t="shared" si="335"/>
        <v>9363146.6057592072</v>
      </c>
      <c r="AK249" s="38">
        <f t="shared" si="335"/>
        <v>9441276.5663599893</v>
      </c>
      <c r="AL249" s="38">
        <f t="shared" si="335"/>
        <v>9519036.1402780954</v>
      </c>
      <c r="AM249" s="38">
        <f t="shared" si="335"/>
        <v>9596381.4456745647</v>
      </c>
      <c r="AN249" s="38">
        <f t="shared" si="335"/>
        <v>9673266.9877940957</v>
      </c>
      <c r="AO249" s="38">
        <f t="shared" si="335"/>
        <v>9749645.6109556817</v>
      </c>
      <c r="AP249" s="38">
        <f t="shared" si="335"/>
        <v>9825468.4492284656</v>
      </c>
      <c r="AQ249" s="38">
        <f t="shared" si="335"/>
        <v>9900684.875758253</v>
      </c>
      <c r="AR249" s="38">
        <f t="shared" si="335"/>
        <v>9975242.4507092405</v>
      </c>
      <c r="AS249" s="38">
        <f t="shared" si="335"/>
        <v>10049086.867784552</v>
      </c>
      <c r="AT249" s="38">
        <f t="shared" si="335"/>
        <v>10122161.899288278</v>
      </c>
      <c r="AU249" s="38">
        <f t="shared" si="335"/>
        <v>0</v>
      </c>
    </row>
    <row r="250" spans="1:47" x14ac:dyDescent="0.35">
      <c r="D250" s="39" t="s">
        <v>109</v>
      </c>
      <c r="E250" s="18"/>
      <c r="F250" s="18"/>
      <c r="G250" s="18"/>
      <c r="H250" s="18"/>
      <c r="I250" s="18" t="s">
        <v>114</v>
      </c>
      <c r="J250" s="83">
        <f>SUM(K250:AU250)</f>
        <v>144751840.58991763</v>
      </c>
      <c r="K250" s="62">
        <f t="shared" ref="K250:AU250" si="336">SUM(K248:K249)</f>
        <v>-96743555.395356506</v>
      </c>
      <c r="L250" s="62">
        <f t="shared" si="336"/>
        <v>0</v>
      </c>
      <c r="M250" s="62">
        <f t="shared" si="336"/>
        <v>0</v>
      </c>
      <c r="N250" s="62">
        <f t="shared" si="336"/>
        <v>0</v>
      </c>
      <c r="O250" s="62">
        <f t="shared" si="336"/>
        <v>0</v>
      </c>
      <c r="P250" s="62">
        <f t="shared" si="336"/>
        <v>0</v>
      </c>
      <c r="Q250" s="62">
        <f t="shared" si="336"/>
        <v>0</v>
      </c>
      <c r="R250" s="62">
        <f t="shared" si="336"/>
        <v>0</v>
      </c>
      <c r="S250" s="62">
        <f t="shared" si="336"/>
        <v>0</v>
      </c>
      <c r="T250" s="62">
        <f t="shared" si="336"/>
        <v>0</v>
      </c>
      <c r="U250" s="62">
        <f t="shared" si="336"/>
        <v>0</v>
      </c>
      <c r="V250" s="62">
        <f t="shared" si="336"/>
        <v>0</v>
      </c>
      <c r="W250" s="62">
        <f t="shared" si="336"/>
        <v>0</v>
      </c>
      <c r="X250" s="62">
        <f t="shared" si="336"/>
        <v>10693406.196068944</v>
      </c>
      <c r="Y250" s="62">
        <f t="shared" si="336"/>
        <v>12129059.248288043</v>
      </c>
      <c r="Z250" s="62">
        <f t="shared" si="336"/>
        <v>12242952.015633088</v>
      </c>
      <c r="AA250" s="62">
        <f t="shared" si="336"/>
        <v>12356871.029825214</v>
      </c>
      <c r="AB250" s="62">
        <f t="shared" si="336"/>
        <v>12470774.913057785</v>
      </c>
      <c r="AC250" s="62">
        <f t="shared" si="336"/>
        <v>12584620.626772726</v>
      </c>
      <c r="AD250" s="62">
        <f t="shared" si="336"/>
        <v>12698363.420809768</v>
      </c>
      <c r="AE250" s="62">
        <f t="shared" si="336"/>
        <v>12438622.130272083</v>
      </c>
      <c r="AF250" s="62">
        <f t="shared" si="336"/>
        <v>9047746.6633289568</v>
      </c>
      <c r="AG250" s="62">
        <f t="shared" si="336"/>
        <v>9126950.0010948665</v>
      </c>
      <c r="AH250" s="62">
        <f t="shared" si="336"/>
        <v>9205943.2664055396</v>
      </c>
      <c r="AI250" s="62">
        <f t="shared" si="336"/>
        <v>9284688.5741267037</v>
      </c>
      <c r="AJ250" s="62">
        <f t="shared" si="336"/>
        <v>9363146.6057592072</v>
      </c>
      <c r="AK250" s="62">
        <f t="shared" si="336"/>
        <v>9441276.5663599893</v>
      </c>
      <c r="AL250" s="62">
        <f t="shared" si="336"/>
        <v>9519036.1402780954</v>
      </c>
      <c r="AM250" s="62">
        <f t="shared" si="336"/>
        <v>9596381.4456745647</v>
      </c>
      <c r="AN250" s="62">
        <f t="shared" si="336"/>
        <v>9673266.9877940957</v>
      </c>
      <c r="AO250" s="62">
        <f t="shared" si="336"/>
        <v>9749645.6109556817</v>
      </c>
      <c r="AP250" s="62">
        <f t="shared" si="336"/>
        <v>9825468.4492284656</v>
      </c>
      <c r="AQ250" s="62">
        <f t="shared" si="336"/>
        <v>9900684.875758253</v>
      </c>
      <c r="AR250" s="62">
        <f t="shared" si="336"/>
        <v>9975242.4507092405</v>
      </c>
      <c r="AS250" s="62">
        <f t="shared" si="336"/>
        <v>10049086.867784552</v>
      </c>
      <c r="AT250" s="62">
        <f t="shared" si="336"/>
        <v>10122161.899288278</v>
      </c>
      <c r="AU250" s="62">
        <f t="shared" si="336"/>
        <v>0</v>
      </c>
    </row>
    <row r="251" spans="1:47" x14ac:dyDescent="0.35">
      <c r="D251" s="2" t="s">
        <v>111</v>
      </c>
      <c r="E251" s="114">
        <f>XIRR(K250:AU250,K$5:AU$5)</f>
        <v>4.132892787456513E-2</v>
      </c>
    </row>
    <row r="253" spans="1:47" x14ac:dyDescent="0.35">
      <c r="A253" s="32" t="s">
        <v>98</v>
      </c>
      <c r="B253" s="32"/>
      <c r="C253" s="90"/>
      <c r="D253" s="33"/>
      <c r="E253" s="49"/>
      <c r="F253" s="49"/>
      <c r="G253" s="49"/>
      <c r="H253" s="49"/>
      <c r="I253" s="49"/>
      <c r="J253" s="49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</row>
    <row r="254" spans="1:47" x14ac:dyDescent="0.35">
      <c r="C254" s="5" t="s">
        <v>101</v>
      </c>
    </row>
    <row r="255" spans="1:47" x14ac:dyDescent="0.35">
      <c r="D255" s="2" t="s">
        <v>12</v>
      </c>
      <c r="I255" s="16" t="s">
        <v>114</v>
      </c>
      <c r="K255" s="80">
        <v>0</v>
      </c>
      <c r="L255" s="53">
        <f>K257</f>
        <v>96743555.395356506</v>
      </c>
      <c r="M255" s="53">
        <f t="shared" ref="M255:AU255" si="337">L257</f>
        <v>96743555.395356506</v>
      </c>
      <c r="N255" s="53">
        <f t="shared" si="337"/>
        <v>96743555.395356506</v>
      </c>
      <c r="O255" s="53">
        <f t="shared" si="337"/>
        <v>96743555.395356506</v>
      </c>
      <c r="P255" s="53">
        <f t="shared" si="337"/>
        <v>96743555.395356506</v>
      </c>
      <c r="Q255" s="53">
        <f t="shared" si="337"/>
        <v>96743555.395356506</v>
      </c>
      <c r="R255" s="53">
        <f t="shared" si="337"/>
        <v>96743555.395356506</v>
      </c>
      <c r="S255" s="53">
        <f t="shared" si="337"/>
        <v>96743555.395356506</v>
      </c>
      <c r="T255" s="53">
        <f t="shared" si="337"/>
        <v>96743555.395356506</v>
      </c>
      <c r="U255" s="53">
        <f t="shared" si="337"/>
        <v>96743555.395356506</v>
      </c>
      <c r="V255" s="53">
        <f t="shared" si="337"/>
        <v>96743555.395356506</v>
      </c>
      <c r="W255" s="53">
        <f t="shared" si="337"/>
        <v>96743555.395356506</v>
      </c>
      <c r="X255" s="53">
        <f t="shared" si="337"/>
        <v>96743555.395356506</v>
      </c>
      <c r="Y255" s="53">
        <f t="shared" si="337"/>
        <v>96743555.395356506</v>
      </c>
      <c r="Z255" s="53">
        <f t="shared" si="337"/>
        <v>96743555.395356506</v>
      </c>
      <c r="AA255" s="53">
        <f t="shared" si="337"/>
        <v>96743555.395356506</v>
      </c>
      <c r="AB255" s="53">
        <f t="shared" si="337"/>
        <v>96743555.395356506</v>
      </c>
      <c r="AC255" s="53">
        <f t="shared" si="337"/>
        <v>96743555.395356506</v>
      </c>
      <c r="AD255" s="53">
        <f t="shared" si="337"/>
        <v>96743555.395356506</v>
      </c>
      <c r="AE255" s="53">
        <f t="shared" si="337"/>
        <v>96743555.395356506</v>
      </c>
      <c r="AF255" s="53">
        <f t="shared" si="337"/>
        <v>96743555.395356506</v>
      </c>
      <c r="AG255" s="53">
        <f t="shared" si="337"/>
        <v>96743555.395356506</v>
      </c>
      <c r="AH255" s="53">
        <f t="shared" si="337"/>
        <v>96743555.395356506</v>
      </c>
      <c r="AI255" s="53">
        <f t="shared" si="337"/>
        <v>96743555.395356506</v>
      </c>
      <c r="AJ255" s="53">
        <f t="shared" si="337"/>
        <v>96743555.395356506</v>
      </c>
      <c r="AK255" s="53">
        <f t="shared" si="337"/>
        <v>96743555.395356506</v>
      </c>
      <c r="AL255" s="53">
        <f t="shared" si="337"/>
        <v>96743555.395356506</v>
      </c>
      <c r="AM255" s="53">
        <f t="shared" si="337"/>
        <v>96743555.395356506</v>
      </c>
      <c r="AN255" s="53">
        <f t="shared" si="337"/>
        <v>96743555.395356506</v>
      </c>
      <c r="AO255" s="53">
        <f t="shared" si="337"/>
        <v>96743555.395356506</v>
      </c>
      <c r="AP255" s="53">
        <f t="shared" si="337"/>
        <v>96743555.395356506</v>
      </c>
      <c r="AQ255" s="53">
        <f t="shared" si="337"/>
        <v>96743555.395356506</v>
      </c>
      <c r="AR255" s="53">
        <f t="shared" si="337"/>
        <v>96743555.395356506</v>
      </c>
      <c r="AS255" s="53">
        <f t="shared" si="337"/>
        <v>96743555.395356506</v>
      </c>
      <c r="AT255" s="53">
        <f t="shared" si="337"/>
        <v>96743555.395356506</v>
      </c>
      <c r="AU255" s="53">
        <f t="shared" si="337"/>
        <v>96743555.395356506</v>
      </c>
    </row>
    <row r="256" spans="1:47" x14ac:dyDescent="0.35">
      <c r="D256" s="2" t="s">
        <v>102</v>
      </c>
      <c r="I256" s="16" t="s">
        <v>114</v>
      </c>
      <c r="J256" s="61">
        <f>SUM(K256:AU256)</f>
        <v>96743555.395356506</v>
      </c>
      <c r="K256" s="38">
        <f t="shared" ref="K256:AU256" si="338">K200</f>
        <v>96743555.395356506</v>
      </c>
      <c r="L256" s="38">
        <f t="shared" si="338"/>
        <v>0</v>
      </c>
      <c r="M256" s="38">
        <f t="shared" si="338"/>
        <v>0</v>
      </c>
      <c r="N256" s="38">
        <f t="shared" si="338"/>
        <v>0</v>
      </c>
      <c r="O256" s="38">
        <f t="shared" si="338"/>
        <v>0</v>
      </c>
      <c r="P256" s="38">
        <f t="shared" si="338"/>
        <v>0</v>
      </c>
      <c r="Q256" s="38">
        <f t="shared" si="338"/>
        <v>0</v>
      </c>
      <c r="R256" s="38">
        <f t="shared" si="338"/>
        <v>0</v>
      </c>
      <c r="S256" s="38">
        <f t="shared" si="338"/>
        <v>0</v>
      </c>
      <c r="T256" s="38">
        <f t="shared" si="338"/>
        <v>0</v>
      </c>
      <c r="U256" s="38">
        <f t="shared" si="338"/>
        <v>0</v>
      </c>
      <c r="V256" s="38">
        <f t="shared" si="338"/>
        <v>0</v>
      </c>
      <c r="W256" s="38">
        <f t="shared" si="338"/>
        <v>0</v>
      </c>
      <c r="X256" s="38">
        <f t="shared" si="338"/>
        <v>0</v>
      </c>
      <c r="Y256" s="38">
        <f t="shared" si="338"/>
        <v>0</v>
      </c>
      <c r="Z256" s="38">
        <f t="shared" si="338"/>
        <v>0</v>
      </c>
      <c r="AA256" s="38">
        <f t="shared" si="338"/>
        <v>0</v>
      </c>
      <c r="AB256" s="38">
        <f t="shared" si="338"/>
        <v>0</v>
      </c>
      <c r="AC256" s="38">
        <f t="shared" si="338"/>
        <v>0</v>
      </c>
      <c r="AD256" s="38">
        <f t="shared" si="338"/>
        <v>0</v>
      </c>
      <c r="AE256" s="38">
        <f t="shared" si="338"/>
        <v>0</v>
      </c>
      <c r="AF256" s="38">
        <f t="shared" si="338"/>
        <v>0</v>
      </c>
      <c r="AG256" s="38">
        <f t="shared" si="338"/>
        <v>0</v>
      </c>
      <c r="AH256" s="38">
        <f t="shared" si="338"/>
        <v>0</v>
      </c>
      <c r="AI256" s="38">
        <f t="shared" si="338"/>
        <v>0</v>
      </c>
      <c r="AJ256" s="38">
        <f t="shared" si="338"/>
        <v>0</v>
      </c>
      <c r="AK256" s="38">
        <f t="shared" si="338"/>
        <v>0</v>
      </c>
      <c r="AL256" s="38">
        <f t="shared" si="338"/>
        <v>0</v>
      </c>
      <c r="AM256" s="38">
        <f t="shared" si="338"/>
        <v>0</v>
      </c>
      <c r="AN256" s="38">
        <f t="shared" si="338"/>
        <v>0</v>
      </c>
      <c r="AO256" s="38">
        <f t="shared" si="338"/>
        <v>0</v>
      </c>
      <c r="AP256" s="38">
        <f t="shared" si="338"/>
        <v>0</v>
      </c>
      <c r="AQ256" s="38">
        <f t="shared" si="338"/>
        <v>0</v>
      </c>
      <c r="AR256" s="38">
        <f t="shared" si="338"/>
        <v>0</v>
      </c>
      <c r="AS256" s="38">
        <f t="shared" si="338"/>
        <v>0</v>
      </c>
      <c r="AT256" s="38">
        <f t="shared" si="338"/>
        <v>0</v>
      </c>
      <c r="AU256" s="38">
        <f t="shared" si="338"/>
        <v>0</v>
      </c>
    </row>
    <row r="257" spans="1:47" x14ac:dyDescent="0.35">
      <c r="D257" s="3" t="s">
        <v>13</v>
      </c>
      <c r="E257" s="23"/>
      <c r="F257" s="23"/>
      <c r="G257" s="23"/>
      <c r="H257" s="23"/>
      <c r="I257" s="23" t="s">
        <v>114</v>
      </c>
      <c r="J257" s="23"/>
      <c r="K257" s="40">
        <f>SUM(K255:K256)</f>
        <v>96743555.395356506</v>
      </c>
      <c r="L257" s="40">
        <f t="shared" ref="L257:AU257" si="339">SUM(L255:L256)</f>
        <v>96743555.395356506</v>
      </c>
      <c r="M257" s="40">
        <f t="shared" si="339"/>
        <v>96743555.395356506</v>
      </c>
      <c r="N257" s="40">
        <f t="shared" si="339"/>
        <v>96743555.395356506</v>
      </c>
      <c r="O257" s="40">
        <f t="shared" si="339"/>
        <v>96743555.395356506</v>
      </c>
      <c r="P257" s="40">
        <f t="shared" si="339"/>
        <v>96743555.395356506</v>
      </c>
      <c r="Q257" s="40">
        <f t="shared" si="339"/>
        <v>96743555.395356506</v>
      </c>
      <c r="R257" s="40">
        <f t="shared" si="339"/>
        <v>96743555.395356506</v>
      </c>
      <c r="S257" s="40">
        <f t="shared" si="339"/>
        <v>96743555.395356506</v>
      </c>
      <c r="T257" s="40">
        <f t="shared" si="339"/>
        <v>96743555.395356506</v>
      </c>
      <c r="U257" s="40">
        <f t="shared" si="339"/>
        <v>96743555.395356506</v>
      </c>
      <c r="V257" s="40">
        <f t="shared" si="339"/>
        <v>96743555.395356506</v>
      </c>
      <c r="W257" s="40">
        <f t="shared" si="339"/>
        <v>96743555.395356506</v>
      </c>
      <c r="X257" s="40">
        <f t="shared" si="339"/>
        <v>96743555.395356506</v>
      </c>
      <c r="Y257" s="40">
        <f t="shared" si="339"/>
        <v>96743555.395356506</v>
      </c>
      <c r="Z257" s="40">
        <f t="shared" si="339"/>
        <v>96743555.395356506</v>
      </c>
      <c r="AA257" s="40">
        <f t="shared" si="339"/>
        <v>96743555.395356506</v>
      </c>
      <c r="AB257" s="40">
        <f t="shared" si="339"/>
        <v>96743555.395356506</v>
      </c>
      <c r="AC257" s="40">
        <f t="shared" si="339"/>
        <v>96743555.395356506</v>
      </c>
      <c r="AD257" s="40">
        <f t="shared" si="339"/>
        <v>96743555.395356506</v>
      </c>
      <c r="AE257" s="40">
        <f t="shared" si="339"/>
        <v>96743555.395356506</v>
      </c>
      <c r="AF257" s="40">
        <f t="shared" si="339"/>
        <v>96743555.395356506</v>
      </c>
      <c r="AG257" s="40">
        <f t="shared" si="339"/>
        <v>96743555.395356506</v>
      </c>
      <c r="AH257" s="40">
        <f t="shared" si="339"/>
        <v>96743555.395356506</v>
      </c>
      <c r="AI257" s="40">
        <f t="shared" si="339"/>
        <v>96743555.395356506</v>
      </c>
      <c r="AJ257" s="40">
        <f t="shared" si="339"/>
        <v>96743555.395356506</v>
      </c>
      <c r="AK257" s="40">
        <f t="shared" si="339"/>
        <v>96743555.395356506</v>
      </c>
      <c r="AL257" s="40">
        <f t="shared" si="339"/>
        <v>96743555.395356506</v>
      </c>
      <c r="AM257" s="40">
        <f t="shared" si="339"/>
        <v>96743555.395356506</v>
      </c>
      <c r="AN257" s="40">
        <f t="shared" si="339"/>
        <v>96743555.395356506</v>
      </c>
      <c r="AO257" s="40">
        <f t="shared" si="339"/>
        <v>96743555.395356506</v>
      </c>
      <c r="AP257" s="40">
        <f t="shared" si="339"/>
        <v>96743555.395356506</v>
      </c>
      <c r="AQ257" s="40">
        <f t="shared" si="339"/>
        <v>96743555.395356506</v>
      </c>
      <c r="AR257" s="40">
        <f t="shared" si="339"/>
        <v>96743555.395356506</v>
      </c>
      <c r="AS257" s="40">
        <f t="shared" si="339"/>
        <v>96743555.395356506</v>
      </c>
      <c r="AT257" s="40">
        <f t="shared" si="339"/>
        <v>96743555.395356506</v>
      </c>
      <c r="AU257" s="40">
        <f t="shared" si="339"/>
        <v>96743555.395356506</v>
      </c>
    </row>
    <row r="259" spans="1:47" x14ac:dyDescent="0.35">
      <c r="C259" s="5" t="s">
        <v>103</v>
      </c>
    </row>
    <row r="260" spans="1:47" x14ac:dyDescent="0.35">
      <c r="D260" s="2" t="s">
        <v>12</v>
      </c>
      <c r="I260" s="16" t="s">
        <v>114</v>
      </c>
      <c r="K260" s="80">
        <v>0</v>
      </c>
      <c r="L260" s="53">
        <f>K263</f>
        <v>0</v>
      </c>
      <c r="M260" s="53">
        <f t="shared" ref="M260:AU260" si="340">L263</f>
        <v>-4952760.0187667608</v>
      </c>
      <c r="N260" s="53">
        <f t="shared" si="340"/>
        <v>-9596095.6868683752</v>
      </c>
      <c r="O260" s="53">
        <f t="shared" si="340"/>
        <v>-13911331.814585276</v>
      </c>
      <c r="P260" s="53">
        <f t="shared" si="340"/>
        <v>-17878638.221382521</v>
      </c>
      <c r="Q260" s="53">
        <f t="shared" si="340"/>
        <v>-21476956.260668114</v>
      </c>
      <c r="R260" s="53">
        <f t="shared" si="340"/>
        <v>-18433528.850717079</v>
      </c>
      <c r="S260" s="53">
        <f t="shared" si="340"/>
        <v>-15509387.873837488</v>
      </c>
      <c r="T260" s="53">
        <f t="shared" si="340"/>
        <v>-12706281.632333379</v>
      </c>
      <c r="U260" s="53">
        <f t="shared" si="340"/>
        <v>-10026025.761543503</v>
      </c>
      <c r="V260" s="53">
        <f t="shared" si="340"/>
        <v>-7470505.055136919</v>
      </c>
      <c r="W260" s="53">
        <f t="shared" si="340"/>
        <v>-7111008.2232692502</v>
      </c>
      <c r="X260" s="53">
        <f t="shared" si="340"/>
        <v>-6637929.7580794748</v>
      </c>
      <c r="Y260" s="53">
        <f t="shared" si="340"/>
        <v>-16744534.951767592</v>
      </c>
      <c r="Z260" s="53">
        <f t="shared" si="340"/>
        <v>-28172966.443708867</v>
      </c>
      <c r="AA260" s="53">
        <f t="shared" si="340"/>
        <v>-39601397.93565014</v>
      </c>
      <c r="AB260" s="53">
        <f t="shared" si="340"/>
        <v>-51029829.427591413</v>
      </c>
      <c r="AC260" s="53">
        <f t="shared" si="340"/>
        <v>-62458260.919532686</v>
      </c>
      <c r="AD260" s="53">
        <f t="shared" si="340"/>
        <v>-73886692.41147396</v>
      </c>
      <c r="AE260" s="53">
        <f t="shared" si="340"/>
        <v>-85315123.903415233</v>
      </c>
      <c r="AF260" s="53">
        <f t="shared" si="340"/>
        <v>-96743555.395356506</v>
      </c>
      <c r="AG260" s="53">
        <f t="shared" si="340"/>
        <v>-96743555.395356506</v>
      </c>
      <c r="AH260" s="53">
        <f t="shared" si="340"/>
        <v>-96743555.395356506</v>
      </c>
      <c r="AI260" s="53">
        <f t="shared" si="340"/>
        <v>-96743555.395356506</v>
      </c>
      <c r="AJ260" s="53">
        <f t="shared" si="340"/>
        <v>-96743555.395356506</v>
      </c>
      <c r="AK260" s="53">
        <f t="shared" si="340"/>
        <v>-96743555.395356506</v>
      </c>
      <c r="AL260" s="53">
        <f t="shared" si="340"/>
        <v>-96743555.395356506</v>
      </c>
      <c r="AM260" s="53">
        <f t="shared" si="340"/>
        <v>-96743555.395356506</v>
      </c>
      <c r="AN260" s="53">
        <f t="shared" si="340"/>
        <v>-96743555.395356506</v>
      </c>
      <c r="AO260" s="53">
        <f t="shared" si="340"/>
        <v>-96743555.395356506</v>
      </c>
      <c r="AP260" s="53">
        <f t="shared" si="340"/>
        <v>-96743555.395356506</v>
      </c>
      <c r="AQ260" s="53">
        <f t="shared" si="340"/>
        <v>-96743555.395356506</v>
      </c>
      <c r="AR260" s="53">
        <f t="shared" si="340"/>
        <v>-96743555.395356506</v>
      </c>
      <c r="AS260" s="53">
        <f t="shared" si="340"/>
        <v>-96743555.395356506</v>
      </c>
      <c r="AT260" s="53">
        <f t="shared" si="340"/>
        <v>-96743555.395356506</v>
      </c>
      <c r="AU260" s="53">
        <f t="shared" si="340"/>
        <v>-96743555.395356506</v>
      </c>
    </row>
    <row r="261" spans="1:47" x14ac:dyDescent="0.35">
      <c r="D261" s="2" t="s">
        <v>105</v>
      </c>
      <c r="I261" s="16" t="s">
        <v>114</v>
      </c>
      <c r="J261" s="61">
        <f t="shared" ref="J261:J262" si="341">SUM(K261:AU261)</f>
        <v>144751840.58991763</v>
      </c>
      <c r="K261" s="38">
        <f t="shared" ref="K261:AU261" si="342">K99</f>
        <v>0</v>
      </c>
      <c r="L261" s="38">
        <f t="shared" si="342"/>
        <v>-4952760.0187667608</v>
      </c>
      <c r="M261" s="38">
        <f t="shared" si="342"/>
        <v>-4643335.6681016143</v>
      </c>
      <c r="N261" s="38">
        <f t="shared" si="342"/>
        <v>-4315236.1277168998</v>
      </c>
      <c r="O261" s="38">
        <f t="shared" si="342"/>
        <v>-3967306.4067972433</v>
      </c>
      <c r="P261" s="38">
        <f t="shared" si="342"/>
        <v>-3598318.0392855909</v>
      </c>
      <c r="Q261" s="38">
        <f t="shared" si="342"/>
        <v>3043427.4099510349</v>
      </c>
      <c r="R261" s="38">
        <f t="shared" si="342"/>
        <v>2924140.9768795911</v>
      </c>
      <c r="S261" s="38">
        <f t="shared" si="342"/>
        <v>2803106.2415041085</v>
      </c>
      <c r="T261" s="38">
        <f t="shared" si="342"/>
        <v>2680255.8707898762</v>
      </c>
      <c r="U261" s="38">
        <f t="shared" si="342"/>
        <v>2555520.706406584</v>
      </c>
      <c r="V261" s="38">
        <f t="shared" si="342"/>
        <v>359496.83186766878</v>
      </c>
      <c r="W261" s="38">
        <f t="shared" si="342"/>
        <v>473078.46518977545</v>
      </c>
      <c r="X261" s="38">
        <f t="shared" si="342"/>
        <v>586801.00238082744</v>
      </c>
      <c r="Y261" s="38">
        <f t="shared" si="342"/>
        <v>700627.75634676777</v>
      </c>
      <c r="Z261" s="38">
        <f t="shared" si="342"/>
        <v>814520.52369181253</v>
      </c>
      <c r="AA261" s="38">
        <f t="shared" si="342"/>
        <v>928439.53788393922</v>
      </c>
      <c r="AB261" s="38">
        <f t="shared" si="342"/>
        <v>1042343.4211165104</v>
      </c>
      <c r="AC261" s="38">
        <f t="shared" si="342"/>
        <v>1156189.1348314509</v>
      </c>
      <c r="AD261" s="38">
        <f t="shared" si="342"/>
        <v>1269931.9288684931</v>
      </c>
      <c r="AE261" s="38">
        <f t="shared" si="342"/>
        <v>1010190.6383308086</v>
      </c>
      <c r="AF261" s="38">
        <f t="shared" si="342"/>
        <v>9047746.6633289568</v>
      </c>
      <c r="AG261" s="38">
        <f t="shared" si="342"/>
        <v>9126950.0010948665</v>
      </c>
      <c r="AH261" s="38">
        <f t="shared" si="342"/>
        <v>9205943.2664055396</v>
      </c>
      <c r="AI261" s="38">
        <f t="shared" si="342"/>
        <v>9284688.5741267037</v>
      </c>
      <c r="AJ261" s="38">
        <f t="shared" si="342"/>
        <v>9363146.6057592072</v>
      </c>
      <c r="AK261" s="38">
        <f t="shared" si="342"/>
        <v>9441276.5663599893</v>
      </c>
      <c r="AL261" s="38">
        <f t="shared" si="342"/>
        <v>9519036.1402780954</v>
      </c>
      <c r="AM261" s="38">
        <f t="shared" si="342"/>
        <v>9596381.4456745647</v>
      </c>
      <c r="AN261" s="38">
        <f t="shared" si="342"/>
        <v>9673266.9877940957</v>
      </c>
      <c r="AO261" s="38">
        <f t="shared" si="342"/>
        <v>9749645.6109556817</v>
      </c>
      <c r="AP261" s="38">
        <f t="shared" si="342"/>
        <v>9825468.4492284656</v>
      </c>
      <c r="AQ261" s="38">
        <f t="shared" si="342"/>
        <v>9900684.875758253</v>
      </c>
      <c r="AR261" s="38">
        <f t="shared" si="342"/>
        <v>9975242.4507092405</v>
      </c>
      <c r="AS261" s="38">
        <f t="shared" si="342"/>
        <v>10049086.867784552</v>
      </c>
      <c r="AT261" s="38">
        <f t="shared" si="342"/>
        <v>10122161.899288278</v>
      </c>
      <c r="AU261" s="38">
        <f t="shared" si="342"/>
        <v>0</v>
      </c>
    </row>
    <row r="262" spans="1:47" x14ac:dyDescent="0.35">
      <c r="D262" s="2" t="s">
        <v>104</v>
      </c>
      <c r="I262" s="16" t="s">
        <v>114</v>
      </c>
      <c r="J262" s="61">
        <f t="shared" si="341"/>
        <v>-241495395.9852742</v>
      </c>
      <c r="K262" s="38">
        <f>K223</f>
        <v>0</v>
      </c>
      <c r="L262" s="38">
        <f t="shared" ref="L262:AU262" si="343">L223</f>
        <v>0</v>
      </c>
      <c r="M262" s="38">
        <f t="shared" si="343"/>
        <v>0</v>
      </c>
      <c r="N262" s="38">
        <f t="shared" si="343"/>
        <v>0</v>
      </c>
      <c r="O262" s="38">
        <f t="shared" si="343"/>
        <v>0</v>
      </c>
      <c r="P262" s="38">
        <f t="shared" si="343"/>
        <v>0</v>
      </c>
      <c r="Q262" s="38">
        <f t="shared" si="343"/>
        <v>0</v>
      </c>
      <c r="R262" s="38">
        <f t="shared" si="343"/>
        <v>0</v>
      </c>
      <c r="S262" s="38">
        <f t="shared" si="343"/>
        <v>0</v>
      </c>
      <c r="T262" s="38">
        <f t="shared" si="343"/>
        <v>0</v>
      </c>
      <c r="U262" s="38">
        <f t="shared" si="343"/>
        <v>0</v>
      </c>
      <c r="V262" s="38">
        <f t="shared" si="343"/>
        <v>0</v>
      </c>
      <c r="W262" s="38">
        <f t="shared" si="343"/>
        <v>0</v>
      </c>
      <c r="X262" s="38">
        <f t="shared" si="343"/>
        <v>-10693406.196068944</v>
      </c>
      <c r="Y262" s="38">
        <f t="shared" si="343"/>
        <v>-12129059.248288043</v>
      </c>
      <c r="Z262" s="38">
        <f t="shared" si="343"/>
        <v>-12242952.015633088</v>
      </c>
      <c r="AA262" s="38">
        <f t="shared" si="343"/>
        <v>-12356871.029825214</v>
      </c>
      <c r="AB262" s="38">
        <f t="shared" si="343"/>
        <v>-12470774.913057785</v>
      </c>
      <c r="AC262" s="38">
        <f t="shared" si="343"/>
        <v>-12584620.626772726</v>
      </c>
      <c r="AD262" s="38">
        <f t="shared" si="343"/>
        <v>-12698363.420809768</v>
      </c>
      <c r="AE262" s="38">
        <f t="shared" si="343"/>
        <v>-12438622.130272083</v>
      </c>
      <c r="AF262" s="38">
        <f t="shared" si="343"/>
        <v>-9047746.6633289568</v>
      </c>
      <c r="AG262" s="38">
        <f t="shared" si="343"/>
        <v>-9126950.0010948665</v>
      </c>
      <c r="AH262" s="38">
        <f t="shared" si="343"/>
        <v>-9205943.2664055396</v>
      </c>
      <c r="AI262" s="38">
        <f t="shared" si="343"/>
        <v>-9284688.5741267037</v>
      </c>
      <c r="AJ262" s="38">
        <f t="shared" si="343"/>
        <v>-9363146.6057592072</v>
      </c>
      <c r="AK262" s="38">
        <f t="shared" si="343"/>
        <v>-9441276.5663599893</v>
      </c>
      <c r="AL262" s="38">
        <f t="shared" si="343"/>
        <v>-9519036.1402780954</v>
      </c>
      <c r="AM262" s="38">
        <f t="shared" si="343"/>
        <v>-9596381.4456745647</v>
      </c>
      <c r="AN262" s="38">
        <f t="shared" si="343"/>
        <v>-9673266.9877940957</v>
      </c>
      <c r="AO262" s="38">
        <f t="shared" si="343"/>
        <v>-9749645.6109556817</v>
      </c>
      <c r="AP262" s="38">
        <f t="shared" si="343"/>
        <v>-9825468.4492284656</v>
      </c>
      <c r="AQ262" s="38">
        <f t="shared" si="343"/>
        <v>-9900684.875758253</v>
      </c>
      <c r="AR262" s="38">
        <f t="shared" si="343"/>
        <v>-9975242.4507092405</v>
      </c>
      <c r="AS262" s="38">
        <f t="shared" si="343"/>
        <v>-10049086.867784552</v>
      </c>
      <c r="AT262" s="38">
        <f t="shared" si="343"/>
        <v>-10122161.899288278</v>
      </c>
      <c r="AU262" s="38">
        <f t="shared" si="343"/>
        <v>0</v>
      </c>
    </row>
    <row r="263" spans="1:47" x14ac:dyDescent="0.35">
      <c r="D263" s="3" t="s">
        <v>13</v>
      </c>
      <c r="E263" s="23"/>
      <c r="F263" s="23"/>
      <c r="G263" s="23"/>
      <c r="H263" s="23"/>
      <c r="I263" s="23" t="s">
        <v>114</v>
      </c>
      <c r="J263" s="23"/>
      <c r="K263" s="40">
        <f t="shared" ref="K263:AU263" si="344">SUM(K260:K262)</f>
        <v>0</v>
      </c>
      <c r="L263" s="40">
        <f t="shared" si="344"/>
        <v>-4952760.0187667608</v>
      </c>
      <c r="M263" s="40">
        <f t="shared" si="344"/>
        <v>-9596095.6868683752</v>
      </c>
      <c r="N263" s="40">
        <f t="shared" si="344"/>
        <v>-13911331.814585276</v>
      </c>
      <c r="O263" s="40">
        <f t="shared" si="344"/>
        <v>-17878638.221382521</v>
      </c>
      <c r="P263" s="40">
        <f t="shared" si="344"/>
        <v>-21476956.260668114</v>
      </c>
      <c r="Q263" s="40">
        <f t="shared" si="344"/>
        <v>-18433528.850717079</v>
      </c>
      <c r="R263" s="40">
        <f t="shared" si="344"/>
        <v>-15509387.873837488</v>
      </c>
      <c r="S263" s="40">
        <f t="shared" si="344"/>
        <v>-12706281.632333379</v>
      </c>
      <c r="T263" s="40">
        <f t="shared" si="344"/>
        <v>-10026025.761543503</v>
      </c>
      <c r="U263" s="40">
        <f t="shared" si="344"/>
        <v>-7470505.055136919</v>
      </c>
      <c r="V263" s="40">
        <f t="shared" si="344"/>
        <v>-7111008.2232692502</v>
      </c>
      <c r="W263" s="40">
        <f t="shared" si="344"/>
        <v>-6637929.7580794748</v>
      </c>
      <c r="X263" s="40">
        <f t="shared" si="344"/>
        <v>-16744534.951767592</v>
      </c>
      <c r="Y263" s="40">
        <f t="shared" si="344"/>
        <v>-28172966.443708867</v>
      </c>
      <c r="Z263" s="40">
        <f t="shared" si="344"/>
        <v>-39601397.93565014</v>
      </c>
      <c r="AA263" s="40">
        <f t="shared" si="344"/>
        <v>-51029829.427591413</v>
      </c>
      <c r="AB263" s="40">
        <f t="shared" si="344"/>
        <v>-62458260.919532686</v>
      </c>
      <c r="AC263" s="40">
        <f t="shared" si="344"/>
        <v>-73886692.41147396</v>
      </c>
      <c r="AD263" s="40">
        <f t="shared" si="344"/>
        <v>-85315123.903415233</v>
      </c>
      <c r="AE263" s="40">
        <f t="shared" si="344"/>
        <v>-96743555.395356506</v>
      </c>
      <c r="AF263" s="40">
        <f t="shared" si="344"/>
        <v>-96743555.395356506</v>
      </c>
      <c r="AG263" s="40">
        <f t="shared" si="344"/>
        <v>-96743555.395356506</v>
      </c>
      <c r="AH263" s="40">
        <f t="shared" si="344"/>
        <v>-96743555.395356506</v>
      </c>
      <c r="AI263" s="40">
        <f t="shared" si="344"/>
        <v>-96743555.395356506</v>
      </c>
      <c r="AJ263" s="40">
        <f t="shared" si="344"/>
        <v>-96743555.395356506</v>
      </c>
      <c r="AK263" s="40">
        <f t="shared" si="344"/>
        <v>-96743555.395356506</v>
      </c>
      <c r="AL263" s="40">
        <f t="shared" si="344"/>
        <v>-96743555.395356506</v>
      </c>
      <c r="AM263" s="40">
        <f t="shared" si="344"/>
        <v>-96743555.395356506</v>
      </c>
      <c r="AN263" s="40">
        <f t="shared" si="344"/>
        <v>-96743555.395356506</v>
      </c>
      <c r="AO263" s="40">
        <f t="shared" si="344"/>
        <v>-96743555.395356506</v>
      </c>
      <c r="AP263" s="40">
        <f t="shared" si="344"/>
        <v>-96743555.395356506</v>
      </c>
      <c r="AQ263" s="40">
        <f t="shared" si="344"/>
        <v>-96743555.395356506</v>
      </c>
      <c r="AR263" s="40">
        <f t="shared" si="344"/>
        <v>-96743555.395356506</v>
      </c>
      <c r="AS263" s="40">
        <f t="shared" si="344"/>
        <v>-96743555.395356506</v>
      </c>
      <c r="AT263" s="40">
        <f t="shared" si="344"/>
        <v>-96743555.395356506</v>
      </c>
      <c r="AU263" s="40">
        <f t="shared" si="344"/>
        <v>-96743555.395356506</v>
      </c>
    </row>
    <row r="265" spans="1:47" x14ac:dyDescent="0.35">
      <c r="A265" s="32" t="s">
        <v>164</v>
      </c>
      <c r="B265" s="32"/>
      <c r="C265" s="90"/>
      <c r="D265" s="33"/>
      <c r="E265" s="49"/>
      <c r="F265" s="49"/>
      <c r="G265" s="49"/>
      <c r="H265" s="49"/>
      <c r="I265" s="49"/>
      <c r="J265" s="49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</row>
    <row r="266" spans="1:47" s="8" customFormat="1" x14ac:dyDescent="0.35">
      <c r="B266" s="93"/>
      <c r="C266" s="94" t="s">
        <v>96</v>
      </c>
      <c r="E266" s="25"/>
      <c r="F266" s="25"/>
      <c r="G266" s="25"/>
      <c r="H266" s="25"/>
      <c r="I266" s="25"/>
      <c r="J266" s="25"/>
    </row>
    <row r="267" spans="1:47" s="8" customFormat="1" x14ac:dyDescent="0.35">
      <c r="B267" s="93"/>
      <c r="C267" s="94"/>
      <c r="D267" s="8" t="s">
        <v>99</v>
      </c>
      <c r="E267" s="25"/>
      <c r="F267" s="25"/>
      <c r="G267" s="25"/>
      <c r="H267" s="25"/>
      <c r="I267" s="25" t="s">
        <v>114</v>
      </c>
      <c r="J267" s="25"/>
      <c r="K267" s="38">
        <f t="shared" ref="K267:AU267" si="345">K224</f>
        <v>0</v>
      </c>
      <c r="L267" s="38">
        <f t="shared" si="345"/>
        <v>0</v>
      </c>
      <c r="M267" s="38">
        <f t="shared" si="345"/>
        <v>0</v>
      </c>
      <c r="N267" s="38">
        <f t="shared" si="345"/>
        <v>0</v>
      </c>
      <c r="O267" s="38">
        <f t="shared" si="345"/>
        <v>0</v>
      </c>
      <c r="P267" s="38">
        <f t="shared" si="345"/>
        <v>-96159873.244430721</v>
      </c>
      <c r="Q267" s="38">
        <f t="shared" si="345"/>
        <v>-81688014.342538416</v>
      </c>
      <c r="R267" s="38">
        <f t="shared" si="345"/>
        <v>-67335441.873717546</v>
      </c>
      <c r="S267" s="38">
        <f t="shared" si="345"/>
        <v>-53103904.140272163</v>
      </c>
      <c r="T267" s="38">
        <f t="shared" si="345"/>
        <v>-38995216.777541012</v>
      </c>
      <c r="U267" s="38">
        <f t="shared" si="345"/>
        <v>-25011264.579193152</v>
      </c>
      <c r="V267" s="38">
        <f t="shared" si="345"/>
        <v>-13223336.255384209</v>
      </c>
      <c r="W267" s="38">
        <f t="shared" si="345"/>
        <v>-1321826.2982531581</v>
      </c>
      <c r="X267" s="38">
        <f t="shared" si="345"/>
        <v>0</v>
      </c>
      <c r="Y267" s="38">
        <f t="shared" si="345"/>
        <v>0</v>
      </c>
      <c r="Z267" s="38">
        <f t="shared" si="345"/>
        <v>0</v>
      </c>
      <c r="AA267" s="38">
        <f t="shared" si="345"/>
        <v>0</v>
      </c>
      <c r="AB267" s="38">
        <f t="shared" si="345"/>
        <v>0</v>
      </c>
      <c r="AC267" s="38">
        <f t="shared" si="345"/>
        <v>0</v>
      </c>
      <c r="AD267" s="38">
        <f t="shared" si="345"/>
        <v>0</v>
      </c>
      <c r="AE267" s="38">
        <f t="shared" si="345"/>
        <v>0</v>
      </c>
      <c r="AF267" s="38">
        <f t="shared" si="345"/>
        <v>0</v>
      </c>
      <c r="AG267" s="38">
        <f t="shared" si="345"/>
        <v>0</v>
      </c>
      <c r="AH267" s="38">
        <f t="shared" si="345"/>
        <v>0</v>
      </c>
      <c r="AI267" s="38">
        <f t="shared" si="345"/>
        <v>0</v>
      </c>
      <c r="AJ267" s="38">
        <f t="shared" si="345"/>
        <v>0</v>
      </c>
      <c r="AK267" s="38">
        <f t="shared" si="345"/>
        <v>0</v>
      </c>
      <c r="AL267" s="38">
        <f t="shared" si="345"/>
        <v>0</v>
      </c>
      <c r="AM267" s="38">
        <f t="shared" si="345"/>
        <v>0</v>
      </c>
      <c r="AN267" s="38">
        <f t="shared" si="345"/>
        <v>0</v>
      </c>
      <c r="AO267" s="38">
        <f t="shared" si="345"/>
        <v>0</v>
      </c>
      <c r="AP267" s="38">
        <f t="shared" si="345"/>
        <v>0</v>
      </c>
      <c r="AQ267" s="38">
        <f t="shared" si="345"/>
        <v>0</v>
      </c>
      <c r="AR267" s="38">
        <f t="shared" si="345"/>
        <v>0</v>
      </c>
      <c r="AS267" s="38">
        <f t="shared" si="345"/>
        <v>0</v>
      </c>
      <c r="AT267" s="38">
        <f t="shared" si="345"/>
        <v>0</v>
      </c>
      <c r="AU267" s="38">
        <f t="shared" si="345"/>
        <v>0</v>
      </c>
    </row>
    <row r="268" spans="1:47" s="8" customFormat="1" x14ac:dyDescent="0.35">
      <c r="B268" s="93"/>
      <c r="C268" s="94"/>
      <c r="D268" s="8" t="str">
        <f>D109</f>
        <v>Account receivables</v>
      </c>
      <c r="E268" s="25"/>
      <c r="F268" s="25"/>
      <c r="G268" s="25"/>
      <c r="H268" s="25"/>
      <c r="I268" s="25" t="s">
        <v>114</v>
      </c>
      <c r="J268" s="25"/>
      <c r="K268" s="38">
        <f t="shared" ref="K268:AU268" si="346">K109</f>
        <v>0</v>
      </c>
      <c r="L268" s="38">
        <f t="shared" si="346"/>
        <v>0</v>
      </c>
      <c r="M268" s="38">
        <f t="shared" si="346"/>
        <v>0</v>
      </c>
      <c r="N268" s="38">
        <f t="shared" si="346"/>
        <v>0</v>
      </c>
      <c r="O268" s="38">
        <f t="shared" si="346"/>
        <v>0</v>
      </c>
      <c r="P268" s="38">
        <f t="shared" si="346"/>
        <v>0</v>
      </c>
      <c r="Q268" s="38">
        <f t="shared" si="346"/>
        <v>0</v>
      </c>
      <c r="R268" s="38">
        <f t="shared" si="346"/>
        <v>0</v>
      </c>
      <c r="S268" s="38">
        <f t="shared" si="346"/>
        <v>0</v>
      </c>
      <c r="T268" s="38">
        <f t="shared" si="346"/>
        <v>0</v>
      </c>
      <c r="U268" s="38">
        <f t="shared" si="346"/>
        <v>0</v>
      </c>
      <c r="V268" s="38">
        <f t="shared" si="346"/>
        <v>0</v>
      </c>
      <c r="W268" s="38">
        <f t="shared" si="346"/>
        <v>0</v>
      </c>
      <c r="X268" s="38">
        <f t="shared" si="346"/>
        <v>0</v>
      </c>
      <c r="Y268" s="38">
        <f t="shared" si="346"/>
        <v>0</v>
      </c>
      <c r="Z268" s="38">
        <f t="shared" si="346"/>
        <v>0</v>
      </c>
      <c r="AA268" s="38">
        <f t="shared" si="346"/>
        <v>0</v>
      </c>
      <c r="AB268" s="38">
        <f t="shared" si="346"/>
        <v>0</v>
      </c>
      <c r="AC268" s="38">
        <f t="shared" si="346"/>
        <v>0</v>
      </c>
      <c r="AD268" s="38">
        <f t="shared" si="346"/>
        <v>0</v>
      </c>
      <c r="AE268" s="38">
        <f t="shared" si="346"/>
        <v>0</v>
      </c>
      <c r="AF268" s="38">
        <f t="shared" si="346"/>
        <v>0</v>
      </c>
      <c r="AG268" s="38">
        <f t="shared" si="346"/>
        <v>0</v>
      </c>
      <c r="AH268" s="38">
        <f t="shared" si="346"/>
        <v>0</v>
      </c>
      <c r="AI268" s="38">
        <f t="shared" si="346"/>
        <v>0</v>
      </c>
      <c r="AJ268" s="38">
        <f t="shared" si="346"/>
        <v>0</v>
      </c>
      <c r="AK268" s="38">
        <f t="shared" si="346"/>
        <v>0</v>
      </c>
      <c r="AL268" s="38">
        <f t="shared" si="346"/>
        <v>0</v>
      </c>
      <c r="AM268" s="38">
        <f t="shared" si="346"/>
        <v>0</v>
      </c>
      <c r="AN268" s="38">
        <f t="shared" si="346"/>
        <v>0</v>
      </c>
      <c r="AO268" s="38">
        <f t="shared" si="346"/>
        <v>0</v>
      </c>
      <c r="AP268" s="38">
        <f t="shared" si="346"/>
        <v>0</v>
      </c>
      <c r="AQ268" s="38">
        <f t="shared" si="346"/>
        <v>0</v>
      </c>
      <c r="AR268" s="38">
        <f t="shared" si="346"/>
        <v>0</v>
      </c>
      <c r="AS268" s="38">
        <f t="shared" si="346"/>
        <v>0</v>
      </c>
      <c r="AT268" s="38">
        <f t="shared" si="346"/>
        <v>0</v>
      </c>
      <c r="AU268" s="38">
        <f t="shared" si="346"/>
        <v>0</v>
      </c>
    </row>
    <row r="269" spans="1:47" s="8" customFormat="1" x14ac:dyDescent="0.35">
      <c r="B269" s="93"/>
      <c r="C269" s="94"/>
      <c r="D269" s="8" t="str">
        <f>D78</f>
        <v>Net plant</v>
      </c>
      <c r="E269" s="25"/>
      <c r="F269" s="25"/>
      <c r="G269" s="25"/>
      <c r="H269" s="25"/>
      <c r="I269" s="25" t="s">
        <v>114</v>
      </c>
      <c r="J269" s="25"/>
      <c r="K269" s="38">
        <f t="shared" ref="K269:AU269" si="347">K78</f>
        <v>228568629.83882549</v>
      </c>
      <c r="L269" s="38">
        <f t="shared" si="347"/>
        <v>217140198.34688422</v>
      </c>
      <c r="M269" s="38">
        <f t="shared" si="347"/>
        <v>205711766.85494295</v>
      </c>
      <c r="N269" s="38">
        <f t="shared" si="347"/>
        <v>194283335.36300167</v>
      </c>
      <c r="O269" s="38">
        <f t="shared" si="347"/>
        <v>182854903.8710604</v>
      </c>
      <c r="P269" s="38">
        <f t="shared" si="347"/>
        <v>171426472.37911913</v>
      </c>
      <c r="Q269" s="38">
        <f t="shared" si="347"/>
        <v>159998040.88717782</v>
      </c>
      <c r="R269" s="38">
        <f t="shared" si="347"/>
        <v>148569609.39523655</v>
      </c>
      <c r="S269" s="38">
        <f t="shared" si="347"/>
        <v>137141177.90329528</v>
      </c>
      <c r="T269" s="38">
        <f t="shared" si="347"/>
        <v>125712746.41135402</v>
      </c>
      <c r="U269" s="38">
        <f t="shared" si="347"/>
        <v>114284314.91941275</v>
      </c>
      <c r="V269" s="38">
        <f t="shared" si="347"/>
        <v>102855883.42747147</v>
      </c>
      <c r="W269" s="38">
        <f t="shared" si="347"/>
        <v>91427451.935530186</v>
      </c>
      <c r="X269" s="38">
        <f t="shared" si="347"/>
        <v>79999020.443588912</v>
      </c>
      <c r="Y269" s="38">
        <f t="shared" si="347"/>
        <v>68570588.951647639</v>
      </c>
      <c r="Z269" s="38">
        <f t="shared" si="347"/>
        <v>57142157.459706366</v>
      </c>
      <c r="AA269" s="38">
        <f t="shared" si="347"/>
        <v>45713725.967765093</v>
      </c>
      <c r="AB269" s="38">
        <f t="shared" si="347"/>
        <v>34285294.47582382</v>
      </c>
      <c r="AC269" s="38">
        <f t="shared" si="347"/>
        <v>22856862.983882546</v>
      </c>
      <c r="AD269" s="38">
        <f t="shared" si="347"/>
        <v>11428431.491941273</v>
      </c>
      <c r="AE269" s="38">
        <f t="shared" si="347"/>
        <v>0</v>
      </c>
      <c r="AF269" s="38">
        <f t="shared" si="347"/>
        <v>0</v>
      </c>
      <c r="AG269" s="38">
        <f t="shared" si="347"/>
        <v>0</v>
      </c>
      <c r="AH269" s="38">
        <f t="shared" si="347"/>
        <v>0</v>
      </c>
      <c r="AI269" s="38">
        <f t="shared" si="347"/>
        <v>0</v>
      </c>
      <c r="AJ269" s="38">
        <f t="shared" si="347"/>
        <v>0</v>
      </c>
      <c r="AK269" s="38">
        <f t="shared" si="347"/>
        <v>0</v>
      </c>
      <c r="AL269" s="38">
        <f t="shared" si="347"/>
        <v>0</v>
      </c>
      <c r="AM269" s="38">
        <f t="shared" si="347"/>
        <v>0</v>
      </c>
      <c r="AN269" s="38">
        <f t="shared" si="347"/>
        <v>0</v>
      </c>
      <c r="AO269" s="38">
        <f t="shared" si="347"/>
        <v>0</v>
      </c>
      <c r="AP269" s="38">
        <f t="shared" si="347"/>
        <v>0</v>
      </c>
      <c r="AQ269" s="38">
        <f t="shared" si="347"/>
        <v>0</v>
      </c>
      <c r="AR269" s="38">
        <f t="shared" si="347"/>
        <v>0</v>
      </c>
      <c r="AS269" s="38">
        <f t="shared" si="347"/>
        <v>0</v>
      </c>
      <c r="AT269" s="38">
        <f t="shared" si="347"/>
        <v>0</v>
      </c>
      <c r="AU269" s="38">
        <f t="shared" si="347"/>
        <v>0</v>
      </c>
    </row>
    <row r="270" spans="1:47" s="8" customFormat="1" x14ac:dyDescent="0.35">
      <c r="B270" s="93"/>
      <c r="C270" s="94"/>
      <c r="D270" s="45" t="s">
        <v>100</v>
      </c>
      <c r="E270" s="55"/>
      <c r="F270" s="55"/>
      <c r="G270" s="55"/>
      <c r="H270" s="55"/>
      <c r="I270" s="55" t="s">
        <v>114</v>
      </c>
      <c r="J270" s="55"/>
      <c r="K270" s="40">
        <f t="shared" ref="K270:AU270" si="348">SUM(K267:K269)</f>
        <v>228568629.83882549</v>
      </c>
      <c r="L270" s="40">
        <f t="shared" si="348"/>
        <v>217140198.34688422</v>
      </c>
      <c r="M270" s="40">
        <f t="shared" si="348"/>
        <v>205711766.85494295</v>
      </c>
      <c r="N270" s="40">
        <f t="shared" si="348"/>
        <v>194283335.36300167</v>
      </c>
      <c r="O270" s="40">
        <f t="shared" si="348"/>
        <v>182854903.8710604</v>
      </c>
      <c r="P270" s="40">
        <f t="shared" si="348"/>
        <v>75266599.134688407</v>
      </c>
      <c r="Q270" s="40">
        <f t="shared" si="348"/>
        <v>78310026.544639409</v>
      </c>
      <c r="R270" s="40">
        <f t="shared" si="348"/>
        <v>81234167.521519005</v>
      </c>
      <c r="S270" s="40">
        <f t="shared" si="348"/>
        <v>84037273.763023108</v>
      </c>
      <c r="T270" s="40">
        <f t="shared" si="348"/>
        <v>86717529.633813009</v>
      </c>
      <c r="U270" s="40">
        <f t="shared" si="348"/>
        <v>89273050.340219587</v>
      </c>
      <c r="V270" s="40">
        <f t="shared" si="348"/>
        <v>89632547.172087267</v>
      </c>
      <c r="W270" s="40">
        <f t="shared" si="348"/>
        <v>90105625.637277022</v>
      </c>
      <c r="X270" s="40">
        <f t="shared" si="348"/>
        <v>79999020.443588912</v>
      </c>
      <c r="Y270" s="40">
        <f t="shared" si="348"/>
        <v>68570588.951647639</v>
      </c>
      <c r="Z270" s="40">
        <f t="shared" si="348"/>
        <v>57142157.459706366</v>
      </c>
      <c r="AA270" s="40">
        <f t="shared" si="348"/>
        <v>45713725.967765093</v>
      </c>
      <c r="AB270" s="40">
        <f t="shared" si="348"/>
        <v>34285294.47582382</v>
      </c>
      <c r="AC270" s="40">
        <f t="shared" si="348"/>
        <v>22856862.983882546</v>
      </c>
      <c r="AD270" s="40">
        <f t="shared" si="348"/>
        <v>11428431.491941273</v>
      </c>
      <c r="AE270" s="40">
        <f t="shared" si="348"/>
        <v>0</v>
      </c>
      <c r="AF270" s="40">
        <f t="shared" si="348"/>
        <v>0</v>
      </c>
      <c r="AG270" s="40">
        <f t="shared" si="348"/>
        <v>0</v>
      </c>
      <c r="AH270" s="40">
        <f t="shared" si="348"/>
        <v>0</v>
      </c>
      <c r="AI270" s="40">
        <f t="shared" si="348"/>
        <v>0</v>
      </c>
      <c r="AJ270" s="40">
        <f t="shared" si="348"/>
        <v>0</v>
      </c>
      <c r="AK270" s="40">
        <f t="shared" si="348"/>
        <v>0</v>
      </c>
      <c r="AL270" s="40">
        <f t="shared" si="348"/>
        <v>0</v>
      </c>
      <c r="AM270" s="40">
        <f t="shared" si="348"/>
        <v>0</v>
      </c>
      <c r="AN270" s="40">
        <f t="shared" si="348"/>
        <v>0</v>
      </c>
      <c r="AO270" s="40">
        <f t="shared" si="348"/>
        <v>0</v>
      </c>
      <c r="AP270" s="40">
        <f t="shared" si="348"/>
        <v>0</v>
      </c>
      <c r="AQ270" s="40">
        <f t="shared" si="348"/>
        <v>0</v>
      </c>
      <c r="AR270" s="40">
        <f t="shared" si="348"/>
        <v>0</v>
      </c>
      <c r="AS270" s="40">
        <f t="shared" si="348"/>
        <v>0</v>
      </c>
      <c r="AT270" s="40">
        <f t="shared" si="348"/>
        <v>0</v>
      </c>
      <c r="AU270" s="40">
        <f t="shared" si="348"/>
        <v>0</v>
      </c>
    </row>
    <row r="271" spans="1:47" s="8" customFormat="1" x14ac:dyDescent="0.35">
      <c r="B271" s="93"/>
      <c r="C271" s="94"/>
      <c r="E271" s="25"/>
      <c r="F271" s="25"/>
      <c r="G271" s="25"/>
      <c r="H271" s="25"/>
      <c r="I271" s="25"/>
      <c r="J271" s="25"/>
    </row>
    <row r="272" spans="1:47" s="8" customFormat="1" x14ac:dyDescent="0.35">
      <c r="B272" s="93"/>
      <c r="C272" s="94" t="s">
        <v>97</v>
      </c>
      <c r="E272" s="25"/>
      <c r="F272" s="25"/>
      <c r="G272" s="25"/>
      <c r="H272" s="25"/>
      <c r="I272" s="25"/>
      <c r="J272" s="25"/>
    </row>
    <row r="273" spans="1:47" s="8" customFormat="1" x14ac:dyDescent="0.35">
      <c r="B273" s="93"/>
      <c r="C273" s="94"/>
      <c r="D273" s="8" t="s">
        <v>186</v>
      </c>
      <c r="E273" s="25"/>
      <c r="F273" s="25"/>
      <c r="G273" s="25"/>
      <c r="H273" s="25"/>
      <c r="I273" s="25" t="s">
        <v>114</v>
      </c>
      <c r="J273" s="25"/>
      <c r="K273" s="38">
        <f t="shared" ref="K273:AU273" si="349">K156</f>
        <v>131825074.44346899</v>
      </c>
      <c r="L273" s="38">
        <f t="shared" si="349"/>
        <v>125349402.97029448</v>
      </c>
      <c r="M273" s="38">
        <f t="shared" si="349"/>
        <v>118564307.14645481</v>
      </c>
      <c r="N273" s="38">
        <f t="shared" si="349"/>
        <v>111451111.78223044</v>
      </c>
      <c r="O273" s="38">
        <f t="shared" si="349"/>
        <v>103989986.69708641</v>
      </c>
      <c r="P273" s="38">
        <f t="shared" si="349"/>
        <v>0</v>
      </c>
      <c r="Q273" s="38">
        <f t="shared" si="349"/>
        <v>0</v>
      </c>
      <c r="R273" s="38">
        <f t="shared" si="349"/>
        <v>0</v>
      </c>
      <c r="S273" s="38">
        <f t="shared" si="349"/>
        <v>0</v>
      </c>
      <c r="T273" s="38">
        <f t="shared" si="349"/>
        <v>0</v>
      </c>
      <c r="U273" s="38">
        <f t="shared" si="349"/>
        <v>0</v>
      </c>
      <c r="V273" s="38">
        <f t="shared" si="349"/>
        <v>0</v>
      </c>
      <c r="W273" s="38">
        <f t="shared" si="349"/>
        <v>0</v>
      </c>
      <c r="X273" s="38">
        <f t="shared" si="349"/>
        <v>0</v>
      </c>
      <c r="Y273" s="38">
        <f t="shared" si="349"/>
        <v>0</v>
      </c>
      <c r="Z273" s="38">
        <f t="shared" si="349"/>
        <v>0</v>
      </c>
      <c r="AA273" s="38">
        <f t="shared" si="349"/>
        <v>0</v>
      </c>
      <c r="AB273" s="38">
        <f t="shared" si="349"/>
        <v>0</v>
      </c>
      <c r="AC273" s="38">
        <f t="shared" si="349"/>
        <v>0</v>
      </c>
      <c r="AD273" s="38">
        <f t="shared" si="349"/>
        <v>0</v>
      </c>
      <c r="AE273" s="38">
        <f t="shared" si="349"/>
        <v>0</v>
      </c>
      <c r="AF273" s="38">
        <f t="shared" si="349"/>
        <v>0</v>
      </c>
      <c r="AG273" s="38">
        <f t="shared" si="349"/>
        <v>0</v>
      </c>
      <c r="AH273" s="38">
        <f t="shared" si="349"/>
        <v>0</v>
      </c>
      <c r="AI273" s="38">
        <f t="shared" si="349"/>
        <v>0</v>
      </c>
      <c r="AJ273" s="38">
        <f t="shared" si="349"/>
        <v>0</v>
      </c>
      <c r="AK273" s="38">
        <f t="shared" si="349"/>
        <v>0</v>
      </c>
      <c r="AL273" s="38">
        <f t="shared" si="349"/>
        <v>0</v>
      </c>
      <c r="AM273" s="38">
        <f t="shared" si="349"/>
        <v>0</v>
      </c>
      <c r="AN273" s="38">
        <f t="shared" si="349"/>
        <v>0</v>
      </c>
      <c r="AO273" s="38">
        <f t="shared" si="349"/>
        <v>0</v>
      </c>
      <c r="AP273" s="38">
        <f t="shared" si="349"/>
        <v>0</v>
      </c>
      <c r="AQ273" s="38">
        <f t="shared" si="349"/>
        <v>0</v>
      </c>
      <c r="AR273" s="38">
        <f t="shared" si="349"/>
        <v>0</v>
      </c>
      <c r="AS273" s="38">
        <f t="shared" si="349"/>
        <v>0</v>
      </c>
      <c r="AT273" s="38">
        <f t="shared" si="349"/>
        <v>0</v>
      </c>
      <c r="AU273" s="38">
        <f t="shared" si="349"/>
        <v>0</v>
      </c>
    </row>
    <row r="274" spans="1:47" s="8" customFormat="1" x14ac:dyDescent="0.35">
      <c r="B274" s="93"/>
      <c r="C274" s="94"/>
      <c r="D274" s="45" t="s">
        <v>106</v>
      </c>
      <c r="E274" s="55"/>
      <c r="F274" s="55"/>
      <c r="G274" s="55"/>
      <c r="H274" s="55"/>
      <c r="I274" s="55" t="s">
        <v>114</v>
      </c>
      <c r="J274" s="55"/>
      <c r="K274" s="40">
        <f t="shared" ref="K274:AU274" si="350">SUM(K273:K273)</f>
        <v>131825074.44346899</v>
      </c>
      <c r="L274" s="40">
        <f t="shared" si="350"/>
        <v>125349402.97029448</v>
      </c>
      <c r="M274" s="40">
        <f t="shared" si="350"/>
        <v>118564307.14645481</v>
      </c>
      <c r="N274" s="40">
        <f t="shared" si="350"/>
        <v>111451111.78223044</v>
      </c>
      <c r="O274" s="40">
        <f t="shared" si="350"/>
        <v>103989986.69708641</v>
      </c>
      <c r="P274" s="40">
        <f t="shared" si="350"/>
        <v>0</v>
      </c>
      <c r="Q274" s="40">
        <f t="shared" si="350"/>
        <v>0</v>
      </c>
      <c r="R274" s="40">
        <f t="shared" si="350"/>
        <v>0</v>
      </c>
      <c r="S274" s="40">
        <f t="shared" si="350"/>
        <v>0</v>
      </c>
      <c r="T274" s="40">
        <f t="shared" si="350"/>
        <v>0</v>
      </c>
      <c r="U274" s="40">
        <f t="shared" si="350"/>
        <v>0</v>
      </c>
      <c r="V274" s="40">
        <f t="shared" si="350"/>
        <v>0</v>
      </c>
      <c r="W274" s="40">
        <f t="shared" si="350"/>
        <v>0</v>
      </c>
      <c r="X274" s="40">
        <f t="shared" si="350"/>
        <v>0</v>
      </c>
      <c r="Y274" s="40">
        <f t="shared" si="350"/>
        <v>0</v>
      </c>
      <c r="Z274" s="40">
        <f t="shared" si="350"/>
        <v>0</v>
      </c>
      <c r="AA274" s="40">
        <f t="shared" si="350"/>
        <v>0</v>
      </c>
      <c r="AB274" s="40">
        <f t="shared" si="350"/>
        <v>0</v>
      </c>
      <c r="AC274" s="40">
        <f t="shared" si="350"/>
        <v>0</v>
      </c>
      <c r="AD274" s="40">
        <f t="shared" si="350"/>
        <v>0</v>
      </c>
      <c r="AE274" s="40">
        <f t="shared" si="350"/>
        <v>0</v>
      </c>
      <c r="AF274" s="40">
        <f t="shared" si="350"/>
        <v>0</v>
      </c>
      <c r="AG274" s="40">
        <f t="shared" si="350"/>
        <v>0</v>
      </c>
      <c r="AH274" s="40">
        <f t="shared" si="350"/>
        <v>0</v>
      </c>
      <c r="AI274" s="40">
        <f t="shared" si="350"/>
        <v>0</v>
      </c>
      <c r="AJ274" s="40">
        <f t="shared" si="350"/>
        <v>0</v>
      </c>
      <c r="AK274" s="40">
        <f t="shared" si="350"/>
        <v>0</v>
      </c>
      <c r="AL274" s="40">
        <f t="shared" si="350"/>
        <v>0</v>
      </c>
      <c r="AM274" s="40">
        <f t="shared" si="350"/>
        <v>0</v>
      </c>
      <c r="AN274" s="40">
        <f t="shared" si="350"/>
        <v>0</v>
      </c>
      <c r="AO274" s="40">
        <f t="shared" si="350"/>
        <v>0</v>
      </c>
      <c r="AP274" s="40">
        <f t="shared" si="350"/>
        <v>0</v>
      </c>
      <c r="AQ274" s="40">
        <f t="shared" si="350"/>
        <v>0</v>
      </c>
      <c r="AR274" s="40">
        <f t="shared" si="350"/>
        <v>0</v>
      </c>
      <c r="AS274" s="40">
        <f t="shared" si="350"/>
        <v>0</v>
      </c>
      <c r="AT274" s="40">
        <f t="shared" si="350"/>
        <v>0</v>
      </c>
      <c r="AU274" s="40">
        <f t="shared" si="350"/>
        <v>0</v>
      </c>
    </row>
    <row r="275" spans="1:47" s="8" customFormat="1" x14ac:dyDescent="0.35">
      <c r="B275" s="93"/>
      <c r="C275" s="94"/>
      <c r="E275" s="25"/>
      <c r="F275" s="25"/>
      <c r="G275" s="25"/>
      <c r="H275" s="25"/>
      <c r="I275" s="25"/>
      <c r="J275" s="25"/>
    </row>
    <row r="276" spans="1:47" s="8" customFormat="1" x14ac:dyDescent="0.35">
      <c r="B276" s="93"/>
      <c r="C276" s="94" t="s">
        <v>98</v>
      </c>
      <c r="E276" s="25"/>
      <c r="F276" s="25"/>
      <c r="G276" s="25"/>
      <c r="H276" s="25"/>
      <c r="I276" s="25"/>
      <c r="J276" s="25"/>
    </row>
    <row r="277" spans="1:47" s="8" customFormat="1" x14ac:dyDescent="0.35">
      <c r="B277" s="93"/>
      <c r="C277" s="94"/>
      <c r="D277" s="8" t="s">
        <v>101</v>
      </c>
      <c r="E277" s="25"/>
      <c r="F277" s="25"/>
      <c r="G277" s="25"/>
      <c r="H277" s="25"/>
      <c r="I277" s="25" t="s">
        <v>114</v>
      </c>
      <c r="J277" s="25"/>
      <c r="K277" s="38">
        <f t="shared" ref="K277:AU277" si="351">K257</f>
        <v>96743555.395356506</v>
      </c>
      <c r="L277" s="38">
        <f t="shared" si="351"/>
        <v>96743555.395356506</v>
      </c>
      <c r="M277" s="38">
        <f t="shared" si="351"/>
        <v>96743555.395356506</v>
      </c>
      <c r="N277" s="38">
        <f t="shared" si="351"/>
        <v>96743555.395356506</v>
      </c>
      <c r="O277" s="38">
        <f t="shared" si="351"/>
        <v>96743555.395356506</v>
      </c>
      <c r="P277" s="38">
        <f t="shared" si="351"/>
        <v>96743555.395356506</v>
      </c>
      <c r="Q277" s="38">
        <f t="shared" si="351"/>
        <v>96743555.395356506</v>
      </c>
      <c r="R277" s="38">
        <f t="shared" si="351"/>
        <v>96743555.395356506</v>
      </c>
      <c r="S277" s="38">
        <f t="shared" si="351"/>
        <v>96743555.395356506</v>
      </c>
      <c r="T277" s="38">
        <f t="shared" si="351"/>
        <v>96743555.395356506</v>
      </c>
      <c r="U277" s="38">
        <f t="shared" si="351"/>
        <v>96743555.395356506</v>
      </c>
      <c r="V277" s="38">
        <f t="shared" si="351"/>
        <v>96743555.395356506</v>
      </c>
      <c r="W277" s="38">
        <f t="shared" si="351"/>
        <v>96743555.395356506</v>
      </c>
      <c r="X277" s="38">
        <f t="shared" si="351"/>
        <v>96743555.395356506</v>
      </c>
      <c r="Y277" s="38">
        <f t="shared" si="351"/>
        <v>96743555.395356506</v>
      </c>
      <c r="Z277" s="38">
        <f t="shared" si="351"/>
        <v>96743555.395356506</v>
      </c>
      <c r="AA277" s="38">
        <f t="shared" si="351"/>
        <v>96743555.395356506</v>
      </c>
      <c r="AB277" s="38">
        <f t="shared" si="351"/>
        <v>96743555.395356506</v>
      </c>
      <c r="AC277" s="38">
        <f t="shared" si="351"/>
        <v>96743555.395356506</v>
      </c>
      <c r="AD277" s="38">
        <f t="shared" si="351"/>
        <v>96743555.395356506</v>
      </c>
      <c r="AE277" s="38">
        <f t="shared" si="351"/>
        <v>96743555.395356506</v>
      </c>
      <c r="AF277" s="38">
        <f t="shared" si="351"/>
        <v>96743555.395356506</v>
      </c>
      <c r="AG277" s="38">
        <f t="shared" si="351"/>
        <v>96743555.395356506</v>
      </c>
      <c r="AH277" s="38">
        <f t="shared" si="351"/>
        <v>96743555.395356506</v>
      </c>
      <c r="AI277" s="38">
        <f t="shared" si="351"/>
        <v>96743555.395356506</v>
      </c>
      <c r="AJ277" s="38">
        <f t="shared" si="351"/>
        <v>96743555.395356506</v>
      </c>
      <c r="AK277" s="38">
        <f t="shared" si="351"/>
        <v>96743555.395356506</v>
      </c>
      <c r="AL277" s="38">
        <f t="shared" si="351"/>
        <v>96743555.395356506</v>
      </c>
      <c r="AM277" s="38">
        <f t="shared" si="351"/>
        <v>96743555.395356506</v>
      </c>
      <c r="AN277" s="38">
        <f t="shared" si="351"/>
        <v>96743555.395356506</v>
      </c>
      <c r="AO277" s="38">
        <f t="shared" si="351"/>
        <v>96743555.395356506</v>
      </c>
      <c r="AP277" s="38">
        <f t="shared" si="351"/>
        <v>96743555.395356506</v>
      </c>
      <c r="AQ277" s="38">
        <f t="shared" si="351"/>
        <v>96743555.395356506</v>
      </c>
      <c r="AR277" s="38">
        <f t="shared" si="351"/>
        <v>96743555.395356506</v>
      </c>
      <c r="AS277" s="38">
        <f t="shared" si="351"/>
        <v>96743555.395356506</v>
      </c>
      <c r="AT277" s="38">
        <f t="shared" si="351"/>
        <v>96743555.395356506</v>
      </c>
      <c r="AU277" s="38">
        <f t="shared" si="351"/>
        <v>96743555.395356506</v>
      </c>
    </row>
    <row r="278" spans="1:47" s="8" customFormat="1" x14ac:dyDescent="0.35">
      <c r="B278" s="93"/>
      <c r="C278" s="94"/>
      <c r="D278" s="8" t="s">
        <v>103</v>
      </c>
      <c r="E278" s="25"/>
      <c r="F278" s="25"/>
      <c r="G278" s="25"/>
      <c r="H278" s="25"/>
      <c r="I278" s="25" t="s">
        <v>114</v>
      </c>
      <c r="J278" s="25"/>
      <c r="K278" s="38">
        <f t="shared" ref="K278:AU278" si="352">K263</f>
        <v>0</v>
      </c>
      <c r="L278" s="38">
        <f t="shared" si="352"/>
        <v>-4952760.0187667608</v>
      </c>
      <c r="M278" s="38">
        <f t="shared" si="352"/>
        <v>-9596095.6868683752</v>
      </c>
      <c r="N278" s="38">
        <f t="shared" si="352"/>
        <v>-13911331.814585276</v>
      </c>
      <c r="O278" s="38">
        <f t="shared" si="352"/>
        <v>-17878638.221382521</v>
      </c>
      <c r="P278" s="38">
        <f t="shared" si="352"/>
        <v>-21476956.260668114</v>
      </c>
      <c r="Q278" s="38">
        <f t="shared" si="352"/>
        <v>-18433528.850717079</v>
      </c>
      <c r="R278" s="38">
        <f t="shared" si="352"/>
        <v>-15509387.873837488</v>
      </c>
      <c r="S278" s="38">
        <f t="shared" si="352"/>
        <v>-12706281.632333379</v>
      </c>
      <c r="T278" s="38">
        <f t="shared" si="352"/>
        <v>-10026025.761543503</v>
      </c>
      <c r="U278" s="38">
        <f t="shared" si="352"/>
        <v>-7470505.055136919</v>
      </c>
      <c r="V278" s="38">
        <f t="shared" si="352"/>
        <v>-7111008.2232692502</v>
      </c>
      <c r="W278" s="38">
        <f t="shared" si="352"/>
        <v>-6637929.7580794748</v>
      </c>
      <c r="X278" s="38">
        <f t="shared" si="352"/>
        <v>-16744534.951767592</v>
      </c>
      <c r="Y278" s="38">
        <f t="shared" si="352"/>
        <v>-28172966.443708867</v>
      </c>
      <c r="Z278" s="38">
        <f t="shared" si="352"/>
        <v>-39601397.93565014</v>
      </c>
      <c r="AA278" s="38">
        <f t="shared" si="352"/>
        <v>-51029829.427591413</v>
      </c>
      <c r="AB278" s="38">
        <f t="shared" si="352"/>
        <v>-62458260.919532686</v>
      </c>
      <c r="AC278" s="38">
        <f t="shared" si="352"/>
        <v>-73886692.41147396</v>
      </c>
      <c r="AD278" s="38">
        <f t="shared" si="352"/>
        <v>-85315123.903415233</v>
      </c>
      <c r="AE278" s="38">
        <f t="shared" si="352"/>
        <v>-96743555.395356506</v>
      </c>
      <c r="AF278" s="38">
        <f t="shared" si="352"/>
        <v>-96743555.395356506</v>
      </c>
      <c r="AG278" s="38">
        <f t="shared" si="352"/>
        <v>-96743555.395356506</v>
      </c>
      <c r="AH278" s="38">
        <f t="shared" si="352"/>
        <v>-96743555.395356506</v>
      </c>
      <c r="AI278" s="38">
        <f t="shared" si="352"/>
        <v>-96743555.395356506</v>
      </c>
      <c r="AJ278" s="38">
        <f t="shared" si="352"/>
        <v>-96743555.395356506</v>
      </c>
      <c r="AK278" s="38">
        <f t="shared" si="352"/>
        <v>-96743555.395356506</v>
      </c>
      <c r="AL278" s="38">
        <f t="shared" si="352"/>
        <v>-96743555.395356506</v>
      </c>
      <c r="AM278" s="38">
        <f t="shared" si="352"/>
        <v>-96743555.395356506</v>
      </c>
      <c r="AN278" s="38">
        <f t="shared" si="352"/>
        <v>-96743555.395356506</v>
      </c>
      <c r="AO278" s="38">
        <f t="shared" si="352"/>
        <v>-96743555.395356506</v>
      </c>
      <c r="AP278" s="38">
        <f t="shared" si="352"/>
        <v>-96743555.395356506</v>
      </c>
      <c r="AQ278" s="38">
        <f t="shared" si="352"/>
        <v>-96743555.395356506</v>
      </c>
      <c r="AR278" s="38">
        <f t="shared" si="352"/>
        <v>-96743555.395356506</v>
      </c>
      <c r="AS278" s="38">
        <f t="shared" si="352"/>
        <v>-96743555.395356506</v>
      </c>
      <c r="AT278" s="38">
        <f t="shared" si="352"/>
        <v>-96743555.395356506</v>
      </c>
      <c r="AU278" s="38">
        <f t="shared" si="352"/>
        <v>-96743555.395356506</v>
      </c>
    </row>
    <row r="279" spans="1:47" s="8" customFormat="1" x14ac:dyDescent="0.35">
      <c r="B279" s="93"/>
      <c r="C279" s="94"/>
      <c r="D279" s="45" t="s">
        <v>107</v>
      </c>
      <c r="E279" s="55"/>
      <c r="F279" s="55"/>
      <c r="G279" s="55"/>
      <c r="H279" s="55"/>
      <c r="I279" s="55" t="s">
        <v>114</v>
      </c>
      <c r="J279" s="55"/>
      <c r="K279" s="40">
        <f>SUM(K277:K278)</f>
        <v>96743555.395356506</v>
      </c>
      <c r="L279" s="40">
        <f t="shared" ref="L279:AU279" si="353">SUM(L277:L278)</f>
        <v>91790795.376589745</v>
      </c>
      <c r="M279" s="40">
        <f t="shared" si="353"/>
        <v>87147459.708488137</v>
      </c>
      <c r="N279" s="40">
        <f t="shared" si="353"/>
        <v>82832223.580771238</v>
      </c>
      <c r="O279" s="40">
        <f t="shared" si="353"/>
        <v>78864917.173973978</v>
      </c>
      <c r="P279" s="40">
        <f t="shared" si="353"/>
        <v>75266599.134688392</v>
      </c>
      <c r="Q279" s="40">
        <f t="shared" si="353"/>
        <v>78310026.544639423</v>
      </c>
      <c r="R279" s="40">
        <f t="shared" si="353"/>
        <v>81234167.52151902</v>
      </c>
      <c r="S279" s="40">
        <f t="shared" si="353"/>
        <v>84037273.763023123</v>
      </c>
      <c r="T279" s="40">
        <f t="shared" si="353"/>
        <v>86717529.633813009</v>
      </c>
      <c r="U279" s="40">
        <f t="shared" si="353"/>
        <v>89273050.340219587</v>
      </c>
      <c r="V279" s="40">
        <f t="shared" si="353"/>
        <v>89632547.172087252</v>
      </c>
      <c r="W279" s="40">
        <f t="shared" si="353"/>
        <v>90105625.637277037</v>
      </c>
      <c r="X279" s="40">
        <f t="shared" si="353"/>
        <v>79999020.443588912</v>
      </c>
      <c r="Y279" s="40">
        <f t="shared" si="353"/>
        <v>68570588.951647639</v>
      </c>
      <c r="Z279" s="40">
        <f t="shared" si="353"/>
        <v>57142157.459706366</v>
      </c>
      <c r="AA279" s="40">
        <f t="shared" si="353"/>
        <v>45713725.967765093</v>
      </c>
      <c r="AB279" s="40">
        <f t="shared" si="353"/>
        <v>34285294.47582382</v>
      </c>
      <c r="AC279" s="40">
        <f t="shared" si="353"/>
        <v>22856862.983882546</v>
      </c>
      <c r="AD279" s="40">
        <f t="shared" si="353"/>
        <v>11428431.491941273</v>
      </c>
      <c r="AE279" s="40">
        <f t="shared" si="353"/>
        <v>0</v>
      </c>
      <c r="AF279" s="40">
        <f t="shared" si="353"/>
        <v>0</v>
      </c>
      <c r="AG279" s="40">
        <f t="shared" si="353"/>
        <v>0</v>
      </c>
      <c r="AH279" s="40">
        <f t="shared" si="353"/>
        <v>0</v>
      </c>
      <c r="AI279" s="40">
        <f t="shared" si="353"/>
        <v>0</v>
      </c>
      <c r="AJ279" s="40">
        <f t="shared" si="353"/>
        <v>0</v>
      </c>
      <c r="AK279" s="40">
        <f t="shared" si="353"/>
        <v>0</v>
      </c>
      <c r="AL279" s="40">
        <f t="shared" si="353"/>
        <v>0</v>
      </c>
      <c r="AM279" s="40">
        <f t="shared" si="353"/>
        <v>0</v>
      </c>
      <c r="AN279" s="40">
        <f t="shared" si="353"/>
        <v>0</v>
      </c>
      <c r="AO279" s="40">
        <f t="shared" si="353"/>
        <v>0</v>
      </c>
      <c r="AP279" s="40">
        <f t="shared" si="353"/>
        <v>0</v>
      </c>
      <c r="AQ279" s="40">
        <f t="shared" si="353"/>
        <v>0</v>
      </c>
      <c r="AR279" s="40">
        <f t="shared" si="353"/>
        <v>0</v>
      </c>
      <c r="AS279" s="40">
        <f t="shared" si="353"/>
        <v>0</v>
      </c>
      <c r="AT279" s="40">
        <f t="shared" si="353"/>
        <v>0</v>
      </c>
      <c r="AU279" s="40">
        <f t="shared" si="353"/>
        <v>0</v>
      </c>
    </row>
    <row r="281" spans="1:47" s="57" customFormat="1" x14ac:dyDescent="0.35">
      <c r="B281" s="77"/>
      <c r="C281" s="91"/>
      <c r="D281" s="57" t="s">
        <v>93</v>
      </c>
      <c r="E281" s="58"/>
      <c r="F281" s="58"/>
      <c r="G281" s="58"/>
      <c r="H281" s="58"/>
      <c r="I281" s="58"/>
      <c r="J281" s="87">
        <f>SUM(K281:AU281)</f>
        <v>0</v>
      </c>
      <c r="K281" s="112">
        <f t="shared" ref="K281:AU281" si="354">K270-K274-K279</f>
        <v>0</v>
      </c>
      <c r="L281" s="112">
        <f t="shared" si="354"/>
        <v>0</v>
      </c>
      <c r="M281" s="112">
        <f t="shared" si="354"/>
        <v>0</v>
      </c>
      <c r="N281" s="112">
        <f t="shared" si="354"/>
        <v>0</v>
      </c>
      <c r="O281" s="112">
        <f t="shared" si="354"/>
        <v>0</v>
      </c>
      <c r="P281" s="112">
        <f t="shared" si="354"/>
        <v>0</v>
      </c>
      <c r="Q281" s="112">
        <f t="shared" si="354"/>
        <v>0</v>
      </c>
      <c r="R281" s="112">
        <f t="shared" si="354"/>
        <v>0</v>
      </c>
      <c r="S281" s="112">
        <f t="shared" si="354"/>
        <v>0</v>
      </c>
      <c r="T281" s="112">
        <f t="shared" si="354"/>
        <v>0</v>
      </c>
      <c r="U281" s="112">
        <f t="shared" si="354"/>
        <v>0</v>
      </c>
      <c r="V281" s="112">
        <f t="shared" si="354"/>
        <v>0</v>
      </c>
      <c r="W281" s="112">
        <f t="shared" si="354"/>
        <v>0</v>
      </c>
      <c r="X281" s="112">
        <f t="shared" si="354"/>
        <v>0</v>
      </c>
      <c r="Y281" s="112">
        <f t="shared" si="354"/>
        <v>0</v>
      </c>
      <c r="Z281" s="112">
        <f t="shared" si="354"/>
        <v>0</v>
      </c>
      <c r="AA281" s="112">
        <f t="shared" si="354"/>
        <v>0</v>
      </c>
      <c r="AB281" s="112">
        <f t="shared" si="354"/>
        <v>0</v>
      </c>
      <c r="AC281" s="112">
        <f t="shared" si="354"/>
        <v>0</v>
      </c>
      <c r="AD281" s="112">
        <f t="shared" si="354"/>
        <v>0</v>
      </c>
      <c r="AE281" s="112">
        <f t="shared" si="354"/>
        <v>0</v>
      </c>
      <c r="AF281" s="112">
        <f t="shared" si="354"/>
        <v>0</v>
      </c>
      <c r="AG281" s="112">
        <f t="shared" si="354"/>
        <v>0</v>
      </c>
      <c r="AH281" s="112">
        <f t="shared" si="354"/>
        <v>0</v>
      </c>
      <c r="AI281" s="112">
        <f t="shared" si="354"/>
        <v>0</v>
      </c>
      <c r="AJ281" s="112">
        <f t="shared" si="354"/>
        <v>0</v>
      </c>
      <c r="AK281" s="112">
        <f t="shared" si="354"/>
        <v>0</v>
      </c>
      <c r="AL281" s="112">
        <f t="shared" si="354"/>
        <v>0</v>
      </c>
      <c r="AM281" s="112">
        <f t="shared" si="354"/>
        <v>0</v>
      </c>
      <c r="AN281" s="112">
        <f t="shared" si="354"/>
        <v>0</v>
      </c>
      <c r="AO281" s="112">
        <f t="shared" si="354"/>
        <v>0</v>
      </c>
      <c r="AP281" s="112">
        <f t="shared" si="354"/>
        <v>0</v>
      </c>
      <c r="AQ281" s="112">
        <f t="shared" si="354"/>
        <v>0</v>
      </c>
      <c r="AR281" s="112">
        <f t="shared" si="354"/>
        <v>0</v>
      </c>
      <c r="AS281" s="112">
        <f t="shared" si="354"/>
        <v>0</v>
      </c>
      <c r="AT281" s="112">
        <f t="shared" si="354"/>
        <v>0</v>
      </c>
      <c r="AU281" s="112">
        <f t="shared" si="354"/>
        <v>0</v>
      </c>
    </row>
    <row r="283" spans="1:47" x14ac:dyDescent="0.35">
      <c r="A283" s="32" t="s">
        <v>205</v>
      </c>
      <c r="B283" s="32"/>
      <c r="C283" s="90"/>
      <c r="D283" s="33"/>
      <c r="E283" s="49"/>
      <c r="F283" s="49"/>
      <c r="G283" s="49"/>
      <c r="H283" s="49"/>
      <c r="I283" s="49"/>
      <c r="J283" s="49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</row>
    <row r="284" spans="1:47" x14ac:dyDescent="0.35">
      <c r="D284" s="38" t="str">
        <f>D139</f>
        <v>Notional Debt period flag</v>
      </c>
      <c r="K284" s="38">
        <f t="shared" ref="K284:AU284" si="355">K139</f>
        <v>0</v>
      </c>
      <c r="L284" s="38">
        <f t="shared" si="355"/>
        <v>1</v>
      </c>
      <c r="M284" s="38">
        <f t="shared" si="355"/>
        <v>1</v>
      </c>
      <c r="N284" s="38">
        <f t="shared" si="355"/>
        <v>1</v>
      </c>
      <c r="O284" s="38">
        <f t="shared" si="355"/>
        <v>1</v>
      </c>
      <c r="P284" s="38">
        <f t="shared" si="355"/>
        <v>1</v>
      </c>
      <c r="Q284" s="38">
        <f t="shared" si="355"/>
        <v>1</v>
      </c>
      <c r="R284" s="38">
        <f t="shared" si="355"/>
        <v>1</v>
      </c>
      <c r="S284" s="38">
        <f t="shared" si="355"/>
        <v>1</v>
      </c>
      <c r="T284" s="38">
        <f t="shared" si="355"/>
        <v>1</v>
      </c>
      <c r="U284" s="38">
        <f t="shared" si="355"/>
        <v>1</v>
      </c>
      <c r="V284" s="38">
        <f t="shared" si="355"/>
        <v>1</v>
      </c>
      <c r="W284" s="38">
        <f t="shared" si="355"/>
        <v>1</v>
      </c>
      <c r="X284" s="38">
        <f t="shared" si="355"/>
        <v>1</v>
      </c>
      <c r="Y284" s="38">
        <f t="shared" si="355"/>
        <v>1</v>
      </c>
      <c r="Z284" s="38">
        <f t="shared" si="355"/>
        <v>1</v>
      </c>
      <c r="AA284" s="38">
        <f t="shared" si="355"/>
        <v>1</v>
      </c>
      <c r="AB284" s="38">
        <f t="shared" si="355"/>
        <v>1</v>
      </c>
      <c r="AC284" s="38">
        <f t="shared" si="355"/>
        <v>1</v>
      </c>
      <c r="AD284" s="38">
        <f t="shared" si="355"/>
        <v>1</v>
      </c>
      <c r="AE284" s="38">
        <f t="shared" si="355"/>
        <v>1</v>
      </c>
      <c r="AF284" s="38">
        <f t="shared" si="355"/>
        <v>1</v>
      </c>
      <c r="AG284" s="38">
        <f t="shared" si="355"/>
        <v>1</v>
      </c>
      <c r="AH284" s="38">
        <f t="shared" si="355"/>
        <v>1</v>
      </c>
      <c r="AI284" s="38">
        <f t="shared" si="355"/>
        <v>1</v>
      </c>
      <c r="AJ284" s="38">
        <f t="shared" si="355"/>
        <v>1</v>
      </c>
      <c r="AK284" s="38">
        <f t="shared" si="355"/>
        <v>0</v>
      </c>
      <c r="AL284" s="38">
        <f t="shared" si="355"/>
        <v>0</v>
      </c>
      <c r="AM284" s="38">
        <f t="shared" si="355"/>
        <v>0</v>
      </c>
      <c r="AN284" s="38">
        <f t="shared" si="355"/>
        <v>0</v>
      </c>
      <c r="AO284" s="38">
        <f t="shared" si="355"/>
        <v>0</v>
      </c>
      <c r="AP284" s="38">
        <f t="shared" si="355"/>
        <v>0</v>
      </c>
      <c r="AQ284" s="38">
        <f t="shared" si="355"/>
        <v>0</v>
      </c>
      <c r="AR284" s="38">
        <f t="shared" si="355"/>
        <v>0</v>
      </c>
      <c r="AS284" s="38">
        <f t="shared" si="355"/>
        <v>0</v>
      </c>
      <c r="AT284" s="38">
        <f t="shared" si="355"/>
        <v>0</v>
      </c>
      <c r="AU284" s="38">
        <f t="shared" si="355"/>
        <v>0</v>
      </c>
    </row>
    <row r="286" spans="1:47" x14ac:dyDescent="0.35">
      <c r="D286" s="8" t="str">
        <f>D48</f>
        <v>Total Merchant revenue</v>
      </c>
      <c r="I286" s="25" t="s">
        <v>114</v>
      </c>
      <c r="J286" s="61">
        <f t="shared" ref="J286:J287" si="356">SUM(K286:AU286)</f>
        <v>596334356.14720881</v>
      </c>
      <c r="K286" s="38">
        <f t="shared" ref="K286:AU286" si="357">K48</f>
        <v>0</v>
      </c>
      <c r="L286" s="38">
        <f t="shared" si="357"/>
        <v>5413427.7119999994</v>
      </c>
      <c r="M286" s="38">
        <f t="shared" si="357"/>
        <v>5494087.7849087995</v>
      </c>
      <c r="N286" s="38">
        <f t="shared" si="357"/>
        <v>5575949.6929039396</v>
      </c>
      <c r="O286" s="38">
        <f t="shared" si="357"/>
        <v>5659031.3433282096</v>
      </c>
      <c r="P286" s="38">
        <f t="shared" si="357"/>
        <v>5743350.9103437997</v>
      </c>
      <c r="Q286" s="38">
        <f t="shared" si="357"/>
        <v>5828926.8389079217</v>
      </c>
      <c r="R286" s="38">
        <f t="shared" si="357"/>
        <v>5915777.8488076506</v>
      </c>
      <c r="S286" s="38">
        <f t="shared" si="357"/>
        <v>6003922.9387548855</v>
      </c>
      <c r="T286" s="38">
        <f t="shared" si="357"/>
        <v>6093381.390542333</v>
      </c>
      <c r="U286" s="38">
        <f t="shared" si="357"/>
        <v>6184172.773261413</v>
      </c>
      <c r="V286" s="38">
        <f t="shared" si="357"/>
        <v>17932334.135951456</v>
      </c>
      <c r="W286" s="38">
        <f t="shared" si="357"/>
        <v>18199525.914577127</v>
      </c>
      <c r="X286" s="38">
        <f t="shared" si="357"/>
        <v>18470698.850704327</v>
      </c>
      <c r="Y286" s="38">
        <f t="shared" si="357"/>
        <v>18745912.263579823</v>
      </c>
      <c r="Z286" s="38">
        <f t="shared" si="357"/>
        <v>19025226.356307164</v>
      </c>
      <c r="AA286" s="38">
        <f t="shared" si="357"/>
        <v>19308702.22901614</v>
      </c>
      <c r="AB286" s="38">
        <f t="shared" si="357"/>
        <v>19596401.892228484</v>
      </c>
      <c r="AC286" s="38">
        <f t="shared" si="357"/>
        <v>19888388.280422691</v>
      </c>
      <c r="AD286" s="38">
        <f t="shared" si="357"/>
        <v>20184725.265800983</v>
      </c>
      <c r="AE286" s="38">
        <f t="shared" si="357"/>
        <v>20485477.672261421</v>
      </c>
      <c r="AF286" s="38">
        <f t="shared" si="357"/>
        <v>20790711.289578117</v>
      </c>
      <c r="AG286" s="38">
        <f t="shared" si="357"/>
        <v>21100492.887792833</v>
      </c>
      <c r="AH286" s="38">
        <f t="shared" si="357"/>
        <v>21414890.231820941</v>
      </c>
      <c r="AI286" s="38">
        <f t="shared" si="357"/>
        <v>21733972.096275073</v>
      </c>
      <c r="AJ286" s="38">
        <f t="shared" si="357"/>
        <v>22057808.280509572</v>
      </c>
      <c r="AK286" s="38">
        <f t="shared" si="357"/>
        <v>22386469.623889171</v>
      </c>
      <c r="AL286" s="38">
        <f t="shared" si="357"/>
        <v>22720028.02128512</v>
      </c>
      <c r="AM286" s="38">
        <f t="shared" si="357"/>
        <v>23058556.438802272</v>
      </c>
      <c r="AN286" s="38">
        <f t="shared" si="357"/>
        <v>23402128.929740425</v>
      </c>
      <c r="AO286" s="38">
        <f t="shared" si="357"/>
        <v>23750820.650793552</v>
      </c>
      <c r="AP286" s="38">
        <f t="shared" si="357"/>
        <v>24104707.878490381</v>
      </c>
      <c r="AQ286" s="38">
        <f t="shared" si="357"/>
        <v>24463868.02587989</v>
      </c>
      <c r="AR286" s="38">
        <f t="shared" si="357"/>
        <v>24828379.659465499</v>
      </c>
      <c r="AS286" s="38">
        <f t="shared" si="357"/>
        <v>25198322.516391538</v>
      </c>
      <c r="AT286" s="38">
        <f t="shared" si="357"/>
        <v>25573777.521885771</v>
      </c>
      <c r="AU286" s="38">
        <f t="shared" si="357"/>
        <v>0</v>
      </c>
    </row>
    <row r="287" spans="1:47" x14ac:dyDescent="0.35">
      <c r="D287" s="8" t="str">
        <f>D50</f>
        <v>Total Revenue</v>
      </c>
      <c r="I287" s="25" t="s">
        <v>114</v>
      </c>
      <c r="J287" s="61">
        <f t="shared" si="356"/>
        <v>737439061.66099596</v>
      </c>
      <c r="K287" s="38">
        <f t="shared" ref="K287:AU287" si="358">K50</f>
        <v>0</v>
      </c>
      <c r="L287" s="38">
        <f t="shared" si="358"/>
        <v>19844301.311999999</v>
      </c>
      <c r="M287" s="38">
        <f t="shared" si="358"/>
        <v>19852807.016908802</v>
      </c>
      <c r="N287" s="38">
        <f t="shared" si="358"/>
        <v>19862875.328743938</v>
      </c>
      <c r="O287" s="38">
        <f t="shared" si="358"/>
        <v>19874522.35098901</v>
      </c>
      <c r="P287" s="38">
        <f t="shared" si="358"/>
        <v>19887764.462966301</v>
      </c>
      <c r="Q287" s="38">
        <f t="shared" si="358"/>
        <v>19902618.323767308</v>
      </c>
      <c r="R287" s="38">
        <f t="shared" si="358"/>
        <v>19919100.876242738</v>
      </c>
      <c r="S287" s="38">
        <f t="shared" si="358"/>
        <v>19937229.351052802</v>
      </c>
      <c r="T287" s="38">
        <f t="shared" si="358"/>
        <v>19957021.270778757</v>
      </c>
      <c r="U287" s="38">
        <f t="shared" si="358"/>
        <v>19978494.454096653</v>
      </c>
      <c r="V287" s="38">
        <f t="shared" si="358"/>
        <v>17932334.135951456</v>
      </c>
      <c r="W287" s="38">
        <f t="shared" si="358"/>
        <v>18199525.914577127</v>
      </c>
      <c r="X287" s="38">
        <f t="shared" si="358"/>
        <v>18470698.850704327</v>
      </c>
      <c r="Y287" s="38">
        <f t="shared" si="358"/>
        <v>18745912.263579823</v>
      </c>
      <c r="Z287" s="38">
        <f t="shared" si="358"/>
        <v>19025226.356307164</v>
      </c>
      <c r="AA287" s="38">
        <f t="shared" si="358"/>
        <v>19308702.22901614</v>
      </c>
      <c r="AB287" s="38">
        <f t="shared" si="358"/>
        <v>19596401.892228484</v>
      </c>
      <c r="AC287" s="38">
        <f t="shared" si="358"/>
        <v>19888388.280422691</v>
      </c>
      <c r="AD287" s="38">
        <f t="shared" si="358"/>
        <v>20184725.265800983</v>
      </c>
      <c r="AE287" s="38">
        <f t="shared" si="358"/>
        <v>20485477.672261421</v>
      </c>
      <c r="AF287" s="38">
        <f t="shared" si="358"/>
        <v>20790711.289578117</v>
      </c>
      <c r="AG287" s="38">
        <f t="shared" si="358"/>
        <v>21100492.887792833</v>
      </c>
      <c r="AH287" s="38">
        <f t="shared" si="358"/>
        <v>21414890.231820941</v>
      </c>
      <c r="AI287" s="38">
        <f t="shared" si="358"/>
        <v>21733972.096275073</v>
      </c>
      <c r="AJ287" s="38">
        <f t="shared" si="358"/>
        <v>22057808.280509572</v>
      </c>
      <c r="AK287" s="38">
        <f t="shared" si="358"/>
        <v>22386469.623889171</v>
      </c>
      <c r="AL287" s="38">
        <f t="shared" si="358"/>
        <v>22720028.02128512</v>
      </c>
      <c r="AM287" s="38">
        <f t="shared" si="358"/>
        <v>23058556.438802272</v>
      </c>
      <c r="AN287" s="38">
        <f t="shared" si="358"/>
        <v>23402128.929740425</v>
      </c>
      <c r="AO287" s="38">
        <f t="shared" si="358"/>
        <v>23750820.650793552</v>
      </c>
      <c r="AP287" s="38">
        <f t="shared" si="358"/>
        <v>24104707.878490381</v>
      </c>
      <c r="AQ287" s="38">
        <f t="shared" si="358"/>
        <v>24463868.02587989</v>
      </c>
      <c r="AR287" s="38">
        <f t="shared" si="358"/>
        <v>24828379.659465499</v>
      </c>
      <c r="AS287" s="38">
        <f t="shared" si="358"/>
        <v>25198322.516391538</v>
      </c>
      <c r="AT287" s="38">
        <f t="shared" si="358"/>
        <v>25573777.521885771</v>
      </c>
      <c r="AU287" s="38">
        <f t="shared" si="358"/>
        <v>0</v>
      </c>
    </row>
    <row r="288" spans="1:47" x14ac:dyDescent="0.35">
      <c r="D288" s="3" t="s">
        <v>207</v>
      </c>
      <c r="E288" s="23"/>
      <c r="F288" s="23"/>
      <c r="G288" s="23"/>
      <c r="H288" s="23"/>
      <c r="I288" s="55"/>
      <c r="J288" s="23"/>
      <c r="K288" s="161">
        <f>IFERROR(K286/K287,0) * K284</f>
        <v>0</v>
      </c>
      <c r="L288" s="161">
        <f t="shared" ref="L288:AU288" si="359">IFERROR(L286/L287,0) * L284</f>
        <v>0.27279507738206227</v>
      </c>
      <c r="M288" s="161">
        <f t="shared" si="359"/>
        <v>0.27674110669737728</v>
      </c>
      <c r="N288" s="161">
        <f t="shared" si="359"/>
        <v>0.28072218148773648</v>
      </c>
      <c r="O288" s="161">
        <f t="shared" si="359"/>
        <v>0.28473797978076193</v>
      </c>
      <c r="P288" s="161">
        <f t="shared" si="359"/>
        <v>0.2887881602298083</v>
      </c>
      <c r="Q288" s="161">
        <f t="shared" si="359"/>
        <v>0.29287236202219352</v>
      </c>
      <c r="R288" s="161">
        <f t="shared" si="359"/>
        <v>0.29699020480705152</v>
      </c>
      <c r="S288" s="161">
        <f t="shared" si="359"/>
        <v>0.30114128864339135</v>
      </c>
      <c r="T288" s="161">
        <f t="shared" si="359"/>
        <v>0.30532519396891733</v>
      </c>
      <c r="U288" s="161">
        <f t="shared" si="359"/>
        <v>0.309541481590137</v>
      </c>
      <c r="V288" s="161">
        <f t="shared" si="359"/>
        <v>1</v>
      </c>
      <c r="W288" s="161">
        <f t="shared" si="359"/>
        <v>1</v>
      </c>
      <c r="X288" s="161">
        <f t="shared" si="359"/>
        <v>1</v>
      </c>
      <c r="Y288" s="161">
        <f t="shared" si="359"/>
        <v>1</v>
      </c>
      <c r="Z288" s="161">
        <f t="shared" si="359"/>
        <v>1</v>
      </c>
      <c r="AA288" s="161">
        <f t="shared" si="359"/>
        <v>1</v>
      </c>
      <c r="AB288" s="161">
        <f t="shared" si="359"/>
        <v>1</v>
      </c>
      <c r="AC288" s="161">
        <f t="shared" si="359"/>
        <v>1</v>
      </c>
      <c r="AD288" s="161">
        <f t="shared" si="359"/>
        <v>1</v>
      </c>
      <c r="AE288" s="161">
        <f t="shared" si="359"/>
        <v>1</v>
      </c>
      <c r="AF288" s="161">
        <f t="shared" si="359"/>
        <v>1</v>
      </c>
      <c r="AG288" s="161">
        <f t="shared" si="359"/>
        <v>1</v>
      </c>
      <c r="AH288" s="161">
        <f t="shared" si="359"/>
        <v>1</v>
      </c>
      <c r="AI288" s="161">
        <f t="shared" si="359"/>
        <v>1</v>
      </c>
      <c r="AJ288" s="161">
        <f t="shared" si="359"/>
        <v>1</v>
      </c>
      <c r="AK288" s="161">
        <f t="shared" si="359"/>
        <v>0</v>
      </c>
      <c r="AL288" s="161">
        <f t="shared" si="359"/>
        <v>0</v>
      </c>
      <c r="AM288" s="161">
        <f t="shared" si="359"/>
        <v>0</v>
      </c>
      <c r="AN288" s="161">
        <f t="shared" si="359"/>
        <v>0</v>
      </c>
      <c r="AO288" s="161">
        <f t="shared" si="359"/>
        <v>0</v>
      </c>
      <c r="AP288" s="161">
        <f t="shared" si="359"/>
        <v>0</v>
      </c>
      <c r="AQ288" s="161">
        <f t="shared" si="359"/>
        <v>0</v>
      </c>
      <c r="AR288" s="161">
        <f t="shared" si="359"/>
        <v>0</v>
      </c>
      <c r="AS288" s="161">
        <f t="shared" si="359"/>
        <v>0</v>
      </c>
      <c r="AT288" s="161">
        <f t="shared" si="359"/>
        <v>0</v>
      </c>
      <c r="AU288" s="161">
        <f t="shared" si="359"/>
        <v>0</v>
      </c>
    </row>
    <row r="289" spans="4:47" x14ac:dyDescent="0.35">
      <c r="I289" s="128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/>
      <c r="AQ289" s="129"/>
      <c r="AR289" s="129"/>
      <c r="AS289" s="129"/>
      <c r="AT289" s="129"/>
      <c r="AU289" s="129"/>
    </row>
    <row r="290" spans="4:47" x14ac:dyDescent="0.35">
      <c r="D290" s="8" t="str">
        <f>D127</f>
        <v>Cash flow available for debt service</v>
      </c>
      <c r="I290" s="25" t="s">
        <v>114</v>
      </c>
      <c r="J290" s="61">
        <f t="shared" ref="J290" ca="1" si="360">SUM(K290:AU290)</f>
        <v>313462622.93860638</v>
      </c>
      <c r="K290" s="38">
        <f t="shared" ref="K290:AU290" ca="1" si="361">K127*K284</f>
        <v>0</v>
      </c>
      <c r="L290" s="38">
        <f t="shared" ca="1" si="361"/>
        <v>14936229.163531177</v>
      </c>
      <c r="M290" s="38">
        <f t="shared" ca="1" si="361"/>
        <v>14824734.86843998</v>
      </c>
      <c r="N290" s="38">
        <f t="shared" ca="1" si="361"/>
        <v>14711803.180275116</v>
      </c>
      <c r="O290" s="38">
        <f t="shared" ca="1" si="361"/>
        <v>14597375.202520188</v>
      </c>
      <c r="P290" s="38">
        <f t="shared" ca="1" si="361"/>
        <v>14589462.587966301</v>
      </c>
      <c r="Q290" s="38">
        <f t="shared" ca="1" si="361"/>
        <v>14471858.90189231</v>
      </c>
      <c r="R290" s="38">
        <f t="shared" ca="1" si="361"/>
        <v>14352572.468820866</v>
      </c>
      <c r="S290" s="38">
        <f t="shared" ca="1" si="361"/>
        <v>14231537.733445384</v>
      </c>
      <c r="T290" s="38">
        <f t="shared" ca="1" si="361"/>
        <v>14108687.362731151</v>
      </c>
      <c r="U290" s="38">
        <f t="shared" ca="1" si="361"/>
        <v>13983952.198347859</v>
      </c>
      <c r="V290" s="38">
        <f t="shared" ca="1" si="361"/>
        <v>11787928.323808944</v>
      </c>
      <c r="W290" s="38">
        <f t="shared" ca="1" si="361"/>
        <v>11901509.957131051</v>
      </c>
      <c r="X290" s="38">
        <f t="shared" ca="1" si="361"/>
        <v>12015232.494322103</v>
      </c>
      <c r="Y290" s="38">
        <f t="shared" ca="1" si="361"/>
        <v>12129059.248288043</v>
      </c>
      <c r="Z290" s="38">
        <f t="shared" ca="1" si="361"/>
        <v>12242952.015633088</v>
      </c>
      <c r="AA290" s="38">
        <f t="shared" ca="1" si="361"/>
        <v>12356871.029825214</v>
      </c>
      <c r="AB290" s="38">
        <f t="shared" ca="1" si="361"/>
        <v>12470774.913057785</v>
      </c>
      <c r="AC290" s="38">
        <f t="shared" ca="1" si="361"/>
        <v>12584620.626772726</v>
      </c>
      <c r="AD290" s="38">
        <f t="shared" ca="1" si="361"/>
        <v>12698363.420809768</v>
      </c>
      <c r="AE290" s="38">
        <f t="shared" ca="1" si="361"/>
        <v>12438622.130272083</v>
      </c>
      <c r="AF290" s="38">
        <f t="shared" ca="1" si="361"/>
        <v>9047746.6633289568</v>
      </c>
      <c r="AG290" s="38">
        <f t="shared" ca="1" si="361"/>
        <v>9126950.0010948665</v>
      </c>
      <c r="AH290" s="38">
        <f t="shared" ca="1" si="361"/>
        <v>9205943.2664055396</v>
      </c>
      <c r="AI290" s="38">
        <f t="shared" ca="1" si="361"/>
        <v>9284688.5741267037</v>
      </c>
      <c r="AJ290" s="38">
        <f t="shared" ca="1" si="361"/>
        <v>9363146.6057592072</v>
      </c>
      <c r="AK290" s="38">
        <f t="shared" ca="1" si="361"/>
        <v>0</v>
      </c>
      <c r="AL290" s="38">
        <f t="shared" ca="1" si="361"/>
        <v>0</v>
      </c>
      <c r="AM290" s="38">
        <f t="shared" ca="1" si="361"/>
        <v>0</v>
      </c>
      <c r="AN290" s="38">
        <f t="shared" ca="1" si="361"/>
        <v>0</v>
      </c>
      <c r="AO290" s="38">
        <f t="shared" ca="1" si="361"/>
        <v>0</v>
      </c>
      <c r="AP290" s="38">
        <f t="shared" ca="1" si="361"/>
        <v>0</v>
      </c>
      <c r="AQ290" s="38">
        <f t="shared" ca="1" si="361"/>
        <v>0</v>
      </c>
      <c r="AR290" s="38">
        <f t="shared" ca="1" si="361"/>
        <v>0</v>
      </c>
      <c r="AS290" s="38">
        <f t="shared" ca="1" si="361"/>
        <v>0</v>
      </c>
      <c r="AT290" s="38">
        <f t="shared" ca="1" si="361"/>
        <v>0</v>
      </c>
      <c r="AU290" s="38">
        <f t="shared" ca="1" si="361"/>
        <v>0</v>
      </c>
    </row>
    <row r="291" spans="4:47" x14ac:dyDescent="0.35">
      <c r="D291" s="2" t="s">
        <v>208</v>
      </c>
      <c r="I291" s="25"/>
      <c r="J291" s="61"/>
      <c r="K291" s="38">
        <f ca="1">K$290*K288</f>
        <v>0</v>
      </c>
      <c r="L291" s="38">
        <f t="shared" ref="L291:AU291" ca="1" si="362">L$290*L288</f>
        <v>4074529.7904617027</v>
      </c>
      <c r="M291" s="38">
        <f t="shared" ca="1" si="362"/>
        <v>4102613.5339872777</v>
      </c>
      <c r="N291" s="38">
        <f t="shared" ca="1" si="362"/>
        <v>4129929.48238505</v>
      </c>
      <c r="O291" s="38">
        <f t="shared" ca="1" si="362"/>
        <v>4156427.1252673888</v>
      </c>
      <c r="P291" s="38">
        <f t="shared" ca="1" si="362"/>
        <v>4213264.0595204057</v>
      </c>
      <c r="Q291" s="38">
        <f t="shared" ca="1" si="362"/>
        <v>4238407.4994491087</v>
      </c>
      <c r="R291" s="38">
        <f t="shared" ca="1" si="362"/>
        <v>4262573.4370231582</v>
      </c>
      <c r="S291" s="38">
        <f t="shared" ca="1" si="362"/>
        <v>4285703.6124267913</v>
      </c>
      <c r="T291" s="38">
        <f t="shared" ca="1" si="362"/>
        <v>4307737.7056727018</v>
      </c>
      <c r="U291" s="38">
        <f t="shared" ca="1" si="362"/>
        <v>4328613.2819622494</v>
      </c>
      <c r="V291" s="38">
        <f t="shared" ca="1" si="362"/>
        <v>11787928.323808944</v>
      </c>
      <c r="W291" s="38">
        <f t="shared" ca="1" si="362"/>
        <v>11901509.957131051</v>
      </c>
      <c r="X291" s="38">
        <f t="shared" ca="1" si="362"/>
        <v>12015232.494322103</v>
      </c>
      <c r="Y291" s="38">
        <f t="shared" ca="1" si="362"/>
        <v>12129059.248288043</v>
      </c>
      <c r="Z291" s="38">
        <f t="shared" ca="1" si="362"/>
        <v>12242952.015633088</v>
      </c>
      <c r="AA291" s="38">
        <f t="shared" ca="1" si="362"/>
        <v>12356871.029825214</v>
      </c>
      <c r="AB291" s="38">
        <f t="shared" ca="1" si="362"/>
        <v>12470774.913057785</v>
      </c>
      <c r="AC291" s="38">
        <f t="shared" ca="1" si="362"/>
        <v>12584620.626772726</v>
      </c>
      <c r="AD291" s="38">
        <f t="shared" ca="1" si="362"/>
        <v>12698363.420809768</v>
      </c>
      <c r="AE291" s="38">
        <f t="shared" ca="1" si="362"/>
        <v>12438622.130272083</v>
      </c>
      <c r="AF291" s="38">
        <f t="shared" ca="1" si="362"/>
        <v>9047746.6633289568</v>
      </c>
      <c r="AG291" s="38">
        <f t="shared" ca="1" si="362"/>
        <v>9126950.0010948665</v>
      </c>
      <c r="AH291" s="38">
        <f t="shared" ca="1" si="362"/>
        <v>9205943.2664055396</v>
      </c>
      <c r="AI291" s="38">
        <f t="shared" ca="1" si="362"/>
        <v>9284688.5741267037</v>
      </c>
      <c r="AJ291" s="38">
        <f t="shared" ca="1" si="362"/>
        <v>9363146.6057592072</v>
      </c>
      <c r="AK291" s="38">
        <f t="shared" ca="1" si="362"/>
        <v>0</v>
      </c>
      <c r="AL291" s="38">
        <f t="shared" ca="1" si="362"/>
        <v>0</v>
      </c>
      <c r="AM291" s="38">
        <f t="shared" ca="1" si="362"/>
        <v>0</v>
      </c>
      <c r="AN291" s="38">
        <f t="shared" ca="1" si="362"/>
        <v>0</v>
      </c>
      <c r="AO291" s="38">
        <f t="shared" ca="1" si="362"/>
        <v>0</v>
      </c>
      <c r="AP291" s="38">
        <f t="shared" ca="1" si="362"/>
        <v>0</v>
      </c>
      <c r="AQ291" s="38">
        <f t="shared" ca="1" si="362"/>
        <v>0</v>
      </c>
      <c r="AR291" s="38">
        <f t="shared" ca="1" si="362"/>
        <v>0</v>
      </c>
      <c r="AS291" s="38">
        <f t="shared" ca="1" si="362"/>
        <v>0</v>
      </c>
      <c r="AT291" s="38">
        <f t="shared" ca="1" si="362"/>
        <v>0</v>
      </c>
      <c r="AU291" s="38">
        <f t="shared" ca="1" si="362"/>
        <v>0</v>
      </c>
    </row>
    <row r="292" spans="4:47" x14ac:dyDescent="0.35">
      <c r="D292" s="2" t="s">
        <v>209</v>
      </c>
      <c r="I292" s="25"/>
      <c r="J292" s="61"/>
      <c r="K292" s="38">
        <f ca="1">K290-K291</f>
        <v>0</v>
      </c>
      <c r="L292" s="38">
        <f t="shared" ref="L292:AU292" ca="1" si="363">L290-L291</f>
        <v>10861699.373069474</v>
      </c>
      <c r="M292" s="38">
        <f t="shared" ca="1" si="363"/>
        <v>10722121.334452702</v>
      </c>
      <c r="N292" s="38">
        <f t="shared" ca="1" si="363"/>
        <v>10581873.697890066</v>
      </c>
      <c r="O292" s="38">
        <f t="shared" ca="1" si="363"/>
        <v>10440948.0772528</v>
      </c>
      <c r="P292" s="38">
        <f t="shared" ca="1" si="363"/>
        <v>10376198.528445896</v>
      </c>
      <c r="Q292" s="38">
        <f t="shared" ca="1" si="363"/>
        <v>10233451.4024432</v>
      </c>
      <c r="R292" s="38">
        <f t="shared" ca="1" si="363"/>
        <v>10089999.031797707</v>
      </c>
      <c r="S292" s="38">
        <f t="shared" ca="1" si="363"/>
        <v>9945834.1210185923</v>
      </c>
      <c r="T292" s="38">
        <f t="shared" ca="1" si="363"/>
        <v>9800949.6570584495</v>
      </c>
      <c r="U292" s="38">
        <f t="shared" ca="1" si="363"/>
        <v>9655338.9163856097</v>
      </c>
      <c r="V292" s="38">
        <f t="shared" ca="1" si="363"/>
        <v>0</v>
      </c>
      <c r="W292" s="38">
        <f t="shared" ca="1" si="363"/>
        <v>0</v>
      </c>
      <c r="X292" s="38">
        <f t="shared" ca="1" si="363"/>
        <v>0</v>
      </c>
      <c r="Y292" s="38">
        <f t="shared" ca="1" si="363"/>
        <v>0</v>
      </c>
      <c r="Z292" s="38">
        <f t="shared" ca="1" si="363"/>
        <v>0</v>
      </c>
      <c r="AA292" s="38">
        <f t="shared" ca="1" si="363"/>
        <v>0</v>
      </c>
      <c r="AB292" s="38">
        <f t="shared" ca="1" si="363"/>
        <v>0</v>
      </c>
      <c r="AC292" s="38">
        <f t="shared" ca="1" si="363"/>
        <v>0</v>
      </c>
      <c r="AD292" s="38">
        <f t="shared" ca="1" si="363"/>
        <v>0</v>
      </c>
      <c r="AE292" s="38">
        <f t="shared" ca="1" si="363"/>
        <v>0</v>
      </c>
      <c r="AF292" s="38">
        <f t="shared" ca="1" si="363"/>
        <v>0</v>
      </c>
      <c r="AG292" s="38">
        <f t="shared" ca="1" si="363"/>
        <v>0</v>
      </c>
      <c r="AH292" s="38">
        <f t="shared" ca="1" si="363"/>
        <v>0</v>
      </c>
      <c r="AI292" s="38">
        <f t="shared" ca="1" si="363"/>
        <v>0</v>
      </c>
      <c r="AJ292" s="38">
        <f t="shared" ca="1" si="363"/>
        <v>0</v>
      </c>
      <c r="AK292" s="38">
        <f t="shared" ca="1" si="363"/>
        <v>0</v>
      </c>
      <c r="AL292" s="38">
        <f t="shared" ca="1" si="363"/>
        <v>0</v>
      </c>
      <c r="AM292" s="38">
        <f t="shared" ca="1" si="363"/>
        <v>0</v>
      </c>
      <c r="AN292" s="38">
        <f t="shared" ca="1" si="363"/>
        <v>0</v>
      </c>
      <c r="AO292" s="38">
        <f t="shared" ca="1" si="363"/>
        <v>0</v>
      </c>
      <c r="AP292" s="38">
        <f t="shared" ca="1" si="363"/>
        <v>0</v>
      </c>
      <c r="AQ292" s="38">
        <f t="shared" ca="1" si="363"/>
        <v>0</v>
      </c>
      <c r="AR292" s="38">
        <f t="shared" ca="1" si="363"/>
        <v>0</v>
      </c>
      <c r="AS292" s="38">
        <f t="shared" ca="1" si="363"/>
        <v>0</v>
      </c>
      <c r="AT292" s="38">
        <f t="shared" ca="1" si="363"/>
        <v>0</v>
      </c>
      <c r="AU292" s="38">
        <f t="shared" ca="1" si="363"/>
        <v>0</v>
      </c>
    </row>
    <row r="293" spans="4:47" x14ac:dyDescent="0.35">
      <c r="I293" s="128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129"/>
      <c r="AQ293" s="129"/>
      <c r="AR293" s="129"/>
      <c r="AS293" s="129"/>
      <c r="AT293" s="129"/>
      <c r="AU293" s="129"/>
    </row>
    <row r="294" spans="4:47" x14ac:dyDescent="0.35">
      <c r="D294" s="2" t="s">
        <v>210</v>
      </c>
      <c r="E294" s="81">
        <f>E138</f>
        <v>6.5000000000000002E-2</v>
      </c>
      <c r="I294" s="128"/>
      <c r="K294" s="35">
        <f>$E294</f>
        <v>6.5000000000000002E-2</v>
      </c>
      <c r="L294" s="35">
        <f t="shared" ref="L294:AU294" si="364">$E294</f>
        <v>6.5000000000000002E-2</v>
      </c>
      <c r="M294" s="35">
        <f t="shared" si="364"/>
        <v>6.5000000000000002E-2</v>
      </c>
      <c r="N294" s="35">
        <f t="shared" si="364"/>
        <v>6.5000000000000002E-2</v>
      </c>
      <c r="O294" s="35">
        <f t="shared" si="364"/>
        <v>6.5000000000000002E-2</v>
      </c>
      <c r="P294" s="35">
        <f t="shared" si="364"/>
        <v>6.5000000000000002E-2</v>
      </c>
      <c r="Q294" s="35">
        <f t="shared" si="364"/>
        <v>6.5000000000000002E-2</v>
      </c>
      <c r="R294" s="35">
        <f t="shared" si="364"/>
        <v>6.5000000000000002E-2</v>
      </c>
      <c r="S294" s="35">
        <f t="shared" si="364"/>
        <v>6.5000000000000002E-2</v>
      </c>
      <c r="T294" s="35">
        <f t="shared" si="364"/>
        <v>6.5000000000000002E-2</v>
      </c>
      <c r="U294" s="35">
        <f t="shared" si="364"/>
        <v>6.5000000000000002E-2</v>
      </c>
      <c r="V294" s="35">
        <f t="shared" si="364"/>
        <v>6.5000000000000002E-2</v>
      </c>
      <c r="W294" s="35">
        <f t="shared" si="364"/>
        <v>6.5000000000000002E-2</v>
      </c>
      <c r="X294" s="35">
        <f t="shared" si="364"/>
        <v>6.5000000000000002E-2</v>
      </c>
      <c r="Y294" s="35">
        <f t="shared" si="364"/>
        <v>6.5000000000000002E-2</v>
      </c>
      <c r="Z294" s="35">
        <f t="shared" si="364"/>
        <v>6.5000000000000002E-2</v>
      </c>
      <c r="AA294" s="35">
        <f t="shared" si="364"/>
        <v>6.5000000000000002E-2</v>
      </c>
      <c r="AB294" s="35">
        <f t="shared" si="364"/>
        <v>6.5000000000000002E-2</v>
      </c>
      <c r="AC294" s="35">
        <f t="shared" si="364"/>
        <v>6.5000000000000002E-2</v>
      </c>
      <c r="AD294" s="35">
        <f t="shared" si="364"/>
        <v>6.5000000000000002E-2</v>
      </c>
      <c r="AE294" s="35">
        <f t="shared" si="364"/>
        <v>6.5000000000000002E-2</v>
      </c>
      <c r="AF294" s="35">
        <f t="shared" si="364"/>
        <v>6.5000000000000002E-2</v>
      </c>
      <c r="AG294" s="35">
        <f t="shared" si="364"/>
        <v>6.5000000000000002E-2</v>
      </c>
      <c r="AH294" s="35">
        <f t="shared" si="364"/>
        <v>6.5000000000000002E-2</v>
      </c>
      <c r="AI294" s="35">
        <f t="shared" si="364"/>
        <v>6.5000000000000002E-2</v>
      </c>
      <c r="AJ294" s="35">
        <f t="shared" si="364"/>
        <v>6.5000000000000002E-2</v>
      </c>
      <c r="AK294" s="35">
        <f t="shared" si="364"/>
        <v>6.5000000000000002E-2</v>
      </c>
      <c r="AL294" s="35">
        <f t="shared" si="364"/>
        <v>6.5000000000000002E-2</v>
      </c>
      <c r="AM294" s="35">
        <f t="shared" si="364"/>
        <v>6.5000000000000002E-2</v>
      </c>
      <c r="AN294" s="35">
        <f t="shared" si="364"/>
        <v>6.5000000000000002E-2</v>
      </c>
      <c r="AO294" s="35">
        <f t="shared" si="364"/>
        <v>6.5000000000000002E-2</v>
      </c>
      <c r="AP294" s="35">
        <f t="shared" si="364"/>
        <v>6.5000000000000002E-2</v>
      </c>
      <c r="AQ294" s="35">
        <f t="shared" si="364"/>
        <v>6.5000000000000002E-2</v>
      </c>
      <c r="AR294" s="35">
        <f t="shared" si="364"/>
        <v>6.5000000000000002E-2</v>
      </c>
      <c r="AS294" s="35">
        <f t="shared" si="364"/>
        <v>6.5000000000000002E-2</v>
      </c>
      <c r="AT294" s="35">
        <f t="shared" si="364"/>
        <v>6.5000000000000002E-2</v>
      </c>
      <c r="AU294" s="35">
        <f t="shared" si="364"/>
        <v>6.5000000000000002E-2</v>
      </c>
    </row>
    <row r="295" spans="4:47" x14ac:dyDescent="0.35">
      <c r="D295" s="2" t="s">
        <v>86</v>
      </c>
      <c r="J295" s="24"/>
      <c r="K295" s="108">
        <f>IF(K284=0, 1, J295*(1+K294))</f>
        <v>1</v>
      </c>
      <c r="L295" s="108">
        <f t="shared" ref="L295:AU295" si="365">IF(L284=0, 1, K295*(1+L294))</f>
        <v>1.0649999999999999</v>
      </c>
      <c r="M295" s="108">
        <f t="shared" si="365"/>
        <v>1.1342249999999998</v>
      </c>
      <c r="N295" s="108">
        <f t="shared" si="365"/>
        <v>1.2079496249999997</v>
      </c>
      <c r="O295" s="108">
        <f t="shared" si="365"/>
        <v>1.2864663506249996</v>
      </c>
      <c r="P295" s="108">
        <f t="shared" si="365"/>
        <v>1.3700866634156246</v>
      </c>
      <c r="Q295" s="108">
        <f t="shared" si="365"/>
        <v>1.4591422965376402</v>
      </c>
      <c r="R295" s="108">
        <f t="shared" si="365"/>
        <v>1.5539865458125868</v>
      </c>
      <c r="S295" s="108">
        <f t="shared" si="365"/>
        <v>1.6549956712904048</v>
      </c>
      <c r="T295" s="108">
        <f t="shared" si="365"/>
        <v>1.7625703899242811</v>
      </c>
      <c r="U295" s="108">
        <f t="shared" si="365"/>
        <v>1.8771374652693593</v>
      </c>
      <c r="V295" s="108">
        <f t="shared" si="365"/>
        <v>1.9991514005118676</v>
      </c>
      <c r="W295" s="108">
        <f t="shared" si="365"/>
        <v>2.1290962415451387</v>
      </c>
      <c r="X295" s="108">
        <f t="shared" si="365"/>
        <v>2.2674874972455727</v>
      </c>
      <c r="Y295" s="108">
        <f t="shared" si="365"/>
        <v>2.4148741845665347</v>
      </c>
      <c r="Z295" s="108">
        <f t="shared" si="365"/>
        <v>2.5718410065633592</v>
      </c>
      <c r="AA295" s="108">
        <f t="shared" si="365"/>
        <v>2.7390106719899774</v>
      </c>
      <c r="AB295" s="108">
        <f t="shared" si="365"/>
        <v>2.917046365669326</v>
      </c>
      <c r="AC295" s="108">
        <f t="shared" si="365"/>
        <v>3.1066543794378321</v>
      </c>
      <c r="AD295" s="108">
        <f t="shared" si="365"/>
        <v>3.3085869141012911</v>
      </c>
      <c r="AE295" s="108">
        <f t="shared" si="365"/>
        <v>3.5236450635178751</v>
      </c>
      <c r="AF295" s="108">
        <f t="shared" si="365"/>
        <v>3.7526819926465369</v>
      </c>
      <c r="AG295" s="108">
        <f t="shared" si="365"/>
        <v>3.9966063221685615</v>
      </c>
      <c r="AH295" s="108">
        <f t="shared" si="365"/>
        <v>4.2563857331095178</v>
      </c>
      <c r="AI295" s="108">
        <f t="shared" si="365"/>
        <v>4.5330508057616363</v>
      </c>
      <c r="AJ295" s="108">
        <f t="shared" si="365"/>
        <v>4.8276991081361427</v>
      </c>
      <c r="AK295" s="108">
        <f t="shared" si="365"/>
        <v>1</v>
      </c>
      <c r="AL295" s="108">
        <f t="shared" si="365"/>
        <v>1</v>
      </c>
      <c r="AM295" s="108">
        <f t="shared" si="365"/>
        <v>1</v>
      </c>
      <c r="AN295" s="108">
        <f t="shared" si="365"/>
        <v>1</v>
      </c>
      <c r="AO295" s="108">
        <f t="shared" si="365"/>
        <v>1</v>
      </c>
      <c r="AP295" s="108">
        <f t="shared" si="365"/>
        <v>1</v>
      </c>
      <c r="AQ295" s="108">
        <f t="shared" si="365"/>
        <v>1</v>
      </c>
      <c r="AR295" s="108">
        <f t="shared" si="365"/>
        <v>1</v>
      </c>
      <c r="AS295" s="108">
        <f t="shared" si="365"/>
        <v>1</v>
      </c>
      <c r="AT295" s="108">
        <f t="shared" si="365"/>
        <v>1</v>
      </c>
      <c r="AU295" s="108">
        <f t="shared" si="365"/>
        <v>1</v>
      </c>
    </row>
    <row r="296" spans="4:47" x14ac:dyDescent="0.35">
      <c r="I296" s="128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  <c r="AS296" s="129"/>
      <c r="AT296" s="129"/>
      <c r="AU296" s="129"/>
    </row>
    <row r="297" spans="4:47" x14ac:dyDescent="0.35">
      <c r="D297" s="8" t="str">
        <f>"PV of "&amp;D291</f>
        <v>PV of Merchant CFADS</v>
      </c>
      <c r="I297" s="128"/>
      <c r="J297" s="61">
        <f t="shared" ref="J297:J298" ca="1" si="366">SUM(K297:AU297)</f>
        <v>87774282.446755856</v>
      </c>
      <c r="K297" s="38">
        <f ca="1">K291/K$295</f>
        <v>0</v>
      </c>
      <c r="L297" s="38">
        <f t="shared" ref="L297:AU298" ca="1" si="367">L291/L$295</f>
        <v>3825849.5685086413</v>
      </c>
      <c r="M297" s="38">
        <f t="shared" ca="1" si="367"/>
        <v>3617107.3058584305</v>
      </c>
      <c r="N297" s="38">
        <f t="shared" ca="1" si="367"/>
        <v>3418958.3712028149</v>
      </c>
      <c r="O297" s="38">
        <f t="shared" ca="1" si="367"/>
        <v>3230886.780091905</v>
      </c>
      <c r="P297" s="38">
        <f t="shared" ca="1" si="367"/>
        <v>3075180.6962464279</v>
      </c>
      <c r="Q297" s="38">
        <f t="shared" ca="1" si="367"/>
        <v>2904725.2687461069</v>
      </c>
      <c r="R297" s="38">
        <f t="shared" ca="1" si="367"/>
        <v>2742992.4979139627</v>
      </c>
      <c r="S297" s="38">
        <f t="shared" ca="1" si="367"/>
        <v>2589555.7836022712</v>
      </c>
      <c r="T297" s="38">
        <f t="shared" ca="1" si="367"/>
        <v>2444008.8919556625</v>
      </c>
      <c r="U297" s="38">
        <f t="shared" ca="1" si="367"/>
        <v>2305964.9930012538</v>
      </c>
      <c r="V297" s="38">
        <f t="shared" ca="1" si="367"/>
        <v>5896466.0309322914</v>
      </c>
      <c r="W297" s="38">
        <f t="shared" ca="1" si="367"/>
        <v>5589935.1682166448</v>
      </c>
      <c r="X297" s="38">
        <f t="shared" ca="1" si="367"/>
        <v>5298918.9615896847</v>
      </c>
      <c r="Y297" s="38">
        <f t="shared" ca="1" si="367"/>
        <v>5022646.4491628101</v>
      </c>
      <c r="Z297" s="38">
        <f t="shared" ca="1" si="367"/>
        <v>4760384.4811514299</v>
      </c>
      <c r="AA297" s="38">
        <f t="shared" ca="1" si="367"/>
        <v>4511435.8831057632</v>
      </c>
      <c r="AB297" s="38">
        <f t="shared" ca="1" si="367"/>
        <v>4275137.7077259189</v>
      </c>
      <c r="AC297" s="38">
        <f t="shared" ca="1" si="367"/>
        <v>4050859.5710122054</v>
      </c>
      <c r="AD297" s="38">
        <f t="shared" ca="1" si="367"/>
        <v>3838002.0687046135</v>
      </c>
      <c r="AE297" s="38">
        <f t="shared" ca="1" si="367"/>
        <v>3530044.0044474369</v>
      </c>
      <c r="AF297" s="38">
        <f t="shared" ca="1" si="367"/>
        <v>2411008.0952924378</v>
      </c>
      <c r="AG297" s="38">
        <f t="shared" ca="1" si="367"/>
        <v>2283675.0145915239</v>
      </c>
      <c r="AH297" s="38">
        <f t="shared" ca="1" si="367"/>
        <v>2162854.5539927147</v>
      </c>
      <c r="AI297" s="38">
        <f t="shared" ca="1" si="367"/>
        <v>2048220.7175630154</v>
      </c>
      <c r="AJ297" s="38">
        <f t="shared" ca="1" si="367"/>
        <v>1939463.582139876</v>
      </c>
      <c r="AK297" s="38">
        <f t="shared" ca="1" si="367"/>
        <v>0</v>
      </c>
      <c r="AL297" s="38">
        <f t="shared" ca="1" si="367"/>
        <v>0</v>
      </c>
      <c r="AM297" s="38">
        <f t="shared" ca="1" si="367"/>
        <v>0</v>
      </c>
      <c r="AN297" s="38">
        <f t="shared" ca="1" si="367"/>
        <v>0</v>
      </c>
      <c r="AO297" s="38">
        <f t="shared" ca="1" si="367"/>
        <v>0</v>
      </c>
      <c r="AP297" s="38">
        <f t="shared" ca="1" si="367"/>
        <v>0</v>
      </c>
      <c r="AQ297" s="38">
        <f t="shared" ca="1" si="367"/>
        <v>0</v>
      </c>
      <c r="AR297" s="38">
        <f t="shared" ca="1" si="367"/>
        <v>0</v>
      </c>
      <c r="AS297" s="38">
        <f t="shared" ca="1" si="367"/>
        <v>0</v>
      </c>
      <c r="AT297" s="38">
        <f t="shared" ca="1" si="367"/>
        <v>0</v>
      </c>
      <c r="AU297" s="38">
        <f t="shared" ca="1" si="367"/>
        <v>0</v>
      </c>
    </row>
    <row r="298" spans="4:47" x14ac:dyDescent="0.35">
      <c r="D298" s="8" t="str">
        <f>"PV of "&amp;D292</f>
        <v>PV of PPA CFADS</v>
      </c>
      <c r="I298" s="128"/>
      <c r="J298" s="61">
        <f t="shared" ca="1" si="366"/>
        <v>74321754.076127574</v>
      </c>
      <c r="K298" s="38">
        <f ca="1">K292/K$295</f>
        <v>0</v>
      </c>
      <c r="L298" s="38">
        <f t="shared" ca="1" si="367"/>
        <v>10198778.754055845</v>
      </c>
      <c r="M298" s="38">
        <f t="shared" ca="1" si="367"/>
        <v>9453257.8055083454</v>
      </c>
      <c r="N298" s="38">
        <f t="shared" ca="1" si="367"/>
        <v>8760194.5303721316</v>
      </c>
      <c r="O298" s="38">
        <f t="shared" ca="1" si="367"/>
        <v>8115990.0312824426</v>
      </c>
      <c r="P298" s="38">
        <f t="shared" ca="1" si="367"/>
        <v>7573388.4618495917</v>
      </c>
      <c r="Q298" s="38">
        <f t="shared" ca="1" si="367"/>
        <v>7013333.3991659926</v>
      </c>
      <c r="R298" s="38">
        <f t="shared" ca="1" si="367"/>
        <v>6492977.0846385285</v>
      </c>
      <c r="S298" s="38">
        <f t="shared" ca="1" si="367"/>
        <v>6009583.1629963098</v>
      </c>
      <c r="T298" s="38">
        <f t="shared" ca="1" si="367"/>
        <v>5560600.4237252008</v>
      </c>
      <c r="U298" s="38">
        <f t="shared" ca="1" si="367"/>
        <v>5143650.4225331834</v>
      </c>
      <c r="V298" s="38">
        <f t="shared" ca="1" si="367"/>
        <v>0</v>
      </c>
      <c r="W298" s="38">
        <f t="shared" ca="1" si="367"/>
        <v>0</v>
      </c>
      <c r="X298" s="38">
        <f t="shared" ca="1" si="367"/>
        <v>0</v>
      </c>
      <c r="Y298" s="38">
        <f t="shared" ca="1" si="367"/>
        <v>0</v>
      </c>
      <c r="Z298" s="38">
        <f t="shared" ca="1" si="367"/>
        <v>0</v>
      </c>
      <c r="AA298" s="38">
        <f t="shared" ca="1" si="367"/>
        <v>0</v>
      </c>
      <c r="AB298" s="38">
        <f t="shared" ca="1" si="367"/>
        <v>0</v>
      </c>
      <c r="AC298" s="38">
        <f t="shared" ca="1" si="367"/>
        <v>0</v>
      </c>
      <c r="AD298" s="38">
        <f t="shared" ca="1" si="367"/>
        <v>0</v>
      </c>
      <c r="AE298" s="38">
        <f t="shared" ca="1" si="367"/>
        <v>0</v>
      </c>
      <c r="AF298" s="38">
        <f t="shared" ca="1" si="367"/>
        <v>0</v>
      </c>
      <c r="AG298" s="38">
        <f t="shared" ca="1" si="367"/>
        <v>0</v>
      </c>
      <c r="AH298" s="38">
        <f t="shared" ca="1" si="367"/>
        <v>0</v>
      </c>
      <c r="AI298" s="38">
        <f t="shared" ca="1" si="367"/>
        <v>0</v>
      </c>
      <c r="AJ298" s="38">
        <f t="shared" ca="1" si="367"/>
        <v>0</v>
      </c>
      <c r="AK298" s="38">
        <f t="shared" ca="1" si="367"/>
        <v>0</v>
      </c>
      <c r="AL298" s="38">
        <f t="shared" ca="1" si="367"/>
        <v>0</v>
      </c>
      <c r="AM298" s="38">
        <f t="shared" ca="1" si="367"/>
        <v>0</v>
      </c>
      <c r="AN298" s="38">
        <f t="shared" ca="1" si="367"/>
        <v>0</v>
      </c>
      <c r="AO298" s="38">
        <f t="shared" ca="1" si="367"/>
        <v>0</v>
      </c>
      <c r="AP298" s="38">
        <f t="shared" ca="1" si="367"/>
        <v>0</v>
      </c>
      <c r="AQ298" s="38">
        <f t="shared" ca="1" si="367"/>
        <v>0</v>
      </c>
      <c r="AR298" s="38">
        <f t="shared" ca="1" si="367"/>
        <v>0</v>
      </c>
      <c r="AS298" s="38">
        <f t="shared" ca="1" si="367"/>
        <v>0</v>
      </c>
      <c r="AT298" s="38">
        <f t="shared" ca="1" si="367"/>
        <v>0</v>
      </c>
      <c r="AU298" s="38">
        <f t="shared" ca="1" si="367"/>
        <v>0</v>
      </c>
    </row>
    <row r="299" spans="4:47" x14ac:dyDescent="0.35">
      <c r="D299" s="39" t="s">
        <v>205</v>
      </c>
      <c r="E299" s="162">
        <f ca="1">J297/SUM(J297:J298)</f>
        <v>0.54149554998135063</v>
      </c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  <c r="AS299" s="129"/>
      <c r="AT299" s="129"/>
      <c r="AU299" s="129"/>
    </row>
  </sheetData>
  <conditionalFormatting sqref="D67:E71">
    <cfRule type="containsText" dxfId="1" priority="13" operator="containsText" text="FALSE">
      <formula>NOT(ISERROR(SEARCH("FALSE",D67)))</formula>
    </cfRule>
    <cfRule type="cellIs" dxfId="0" priority="14" operator="equal">
      <formula>TRUE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BA83-E641-4616-80C6-3DBF12346014}">
  <dimension ref="A1:AV54"/>
  <sheetViews>
    <sheetView showGridLines="0" workbookViewId="0">
      <pane xSplit="5" ySplit="3" topLeftCell="F4" activePane="bottomRight" state="frozen"/>
      <selection pane="topRight" activeCell="F1" sqref="F1"/>
      <selection pane="bottomLeft" activeCell="A9" sqref="A9"/>
      <selection pane="bottomRight"/>
    </sheetView>
  </sheetViews>
  <sheetFormatPr defaultRowHeight="14.5" x14ac:dyDescent="0.35"/>
  <cols>
    <col min="1" max="3" width="1.6328125" style="11" customWidth="1"/>
    <col min="4" max="4" width="40.6328125" style="11" customWidth="1"/>
    <col min="5" max="5" width="12.6328125" style="12" customWidth="1"/>
    <col min="6" max="42" width="13.6328125" style="11" customWidth="1"/>
    <col min="43" max="16384" width="8.7265625" style="11"/>
  </cols>
  <sheetData>
    <row r="1" spans="1:48" ht="26" x14ac:dyDescent="0.6">
      <c r="A1" s="146" t="s">
        <v>234</v>
      </c>
    </row>
    <row r="2" spans="1:48" x14ac:dyDescent="0.35">
      <c r="D2" s="11" t="s">
        <v>14</v>
      </c>
      <c r="F2" s="11">
        <f>Model!K6</f>
        <v>2027</v>
      </c>
      <c r="G2" s="11">
        <f>Model!L6</f>
        <v>2028</v>
      </c>
      <c r="H2" s="11">
        <f>Model!M6</f>
        <v>2029</v>
      </c>
      <c r="I2" s="11">
        <f>Model!N6</f>
        <v>2030</v>
      </c>
      <c r="J2" s="11">
        <f>Model!O6</f>
        <v>2031</v>
      </c>
      <c r="K2" s="11">
        <f>Model!P6</f>
        <v>2032</v>
      </c>
      <c r="L2" s="11">
        <f>Model!Q6</f>
        <v>2033</v>
      </c>
      <c r="M2" s="11">
        <f>Model!R6</f>
        <v>2034</v>
      </c>
      <c r="N2" s="11">
        <f>Model!S6</f>
        <v>2035</v>
      </c>
      <c r="O2" s="11">
        <f>Model!T6</f>
        <v>2036</v>
      </c>
      <c r="P2" s="11">
        <f>Model!U6</f>
        <v>2037</v>
      </c>
      <c r="Q2" s="11">
        <f>Model!V6</f>
        <v>2038</v>
      </c>
      <c r="R2" s="11">
        <f>Model!W6</f>
        <v>2039</v>
      </c>
      <c r="S2" s="11">
        <f>Model!X6</f>
        <v>2040</v>
      </c>
      <c r="T2" s="11">
        <f>Model!Y6</f>
        <v>2041</v>
      </c>
      <c r="U2" s="11">
        <f>Model!Z6</f>
        <v>2042</v>
      </c>
      <c r="V2" s="11">
        <f>Model!AA6</f>
        <v>2043</v>
      </c>
      <c r="W2" s="11">
        <f>Model!AB6</f>
        <v>2044</v>
      </c>
      <c r="X2" s="11">
        <f>Model!AC6</f>
        <v>2045</v>
      </c>
      <c r="Y2" s="11">
        <f>Model!AD6</f>
        <v>2046</v>
      </c>
      <c r="Z2" s="11">
        <f>Model!AE6</f>
        <v>2047</v>
      </c>
      <c r="AA2" s="11">
        <f>Model!AF6</f>
        <v>2048</v>
      </c>
      <c r="AB2" s="11">
        <f>Model!AG6</f>
        <v>2049</v>
      </c>
      <c r="AC2" s="11">
        <f>Model!AH6</f>
        <v>2050</v>
      </c>
      <c r="AD2" s="11">
        <f>Model!AI6</f>
        <v>2051</v>
      </c>
      <c r="AE2" s="11">
        <f>Model!AJ6</f>
        <v>2052</v>
      </c>
      <c r="AF2" s="11">
        <f>Model!AK6</f>
        <v>2053</v>
      </c>
      <c r="AG2" s="11">
        <f>Model!AL6</f>
        <v>2054</v>
      </c>
      <c r="AH2" s="11">
        <f>Model!AM6</f>
        <v>2055</v>
      </c>
      <c r="AI2" s="11">
        <f>Model!AN6</f>
        <v>2056</v>
      </c>
      <c r="AJ2" s="11">
        <f>Model!AO6</f>
        <v>2057</v>
      </c>
      <c r="AK2" s="11">
        <f>Model!AP6</f>
        <v>2058</v>
      </c>
      <c r="AL2" s="11">
        <f>Model!AQ6</f>
        <v>2059</v>
      </c>
      <c r="AM2" s="11">
        <f>Model!AR6</f>
        <v>2060</v>
      </c>
      <c r="AN2" s="11">
        <f>Model!AS6</f>
        <v>2061</v>
      </c>
      <c r="AO2" s="11">
        <f>Model!AT6</f>
        <v>2062</v>
      </c>
      <c r="AP2" s="11">
        <f>Model!AU6</f>
        <v>2063</v>
      </c>
    </row>
    <row r="3" spans="1:48" x14ac:dyDescent="0.35">
      <c r="E3" s="12" t="s">
        <v>1</v>
      </c>
    </row>
    <row r="4" spans="1:48" x14ac:dyDescent="0.35">
      <c r="A4" s="32" t="s">
        <v>185</v>
      </c>
      <c r="B4" s="32"/>
      <c r="C4" s="88"/>
      <c r="D4" s="32"/>
      <c r="E4" s="36"/>
      <c r="F4" s="36"/>
      <c r="G4" s="36"/>
      <c r="H4" s="36"/>
      <c r="I4" s="36"/>
      <c r="J4" s="36"/>
      <c r="K4" s="36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x14ac:dyDescent="0.35">
      <c r="D5" s="11" t="str">
        <f>Model!D81</f>
        <v>Total Revenue</v>
      </c>
      <c r="E5" s="12" t="s">
        <v>114</v>
      </c>
      <c r="F5" s="147">
        <f>Model!K81</f>
        <v>0</v>
      </c>
      <c r="G5" s="147">
        <f>Model!L81</f>
        <v>19844301.311999999</v>
      </c>
      <c r="H5" s="147">
        <f>Model!M81</f>
        <v>19852807.016908802</v>
      </c>
      <c r="I5" s="147">
        <f>Model!N81</f>
        <v>19862875.328743938</v>
      </c>
      <c r="J5" s="147">
        <f>Model!O81</f>
        <v>19874522.35098901</v>
      </c>
      <c r="K5" s="147">
        <f>Model!P81</f>
        <v>19887764.462966301</v>
      </c>
      <c r="L5" s="147">
        <f>Model!Q81</f>
        <v>19902618.323767308</v>
      </c>
      <c r="M5" s="147">
        <f>Model!R81</f>
        <v>19919100.876242738</v>
      </c>
      <c r="N5" s="147">
        <f>Model!S81</f>
        <v>19937229.351052802</v>
      </c>
      <c r="O5" s="147">
        <f>Model!T81</f>
        <v>19957021.270778757</v>
      </c>
      <c r="P5" s="147">
        <f>Model!U81</f>
        <v>19978494.454096653</v>
      </c>
      <c r="Q5" s="147">
        <f>Model!V81</f>
        <v>17932334.135951456</v>
      </c>
      <c r="R5" s="147">
        <f>Model!W81</f>
        <v>18199525.914577127</v>
      </c>
      <c r="S5" s="147">
        <f>Model!X81</f>
        <v>18470698.850704327</v>
      </c>
      <c r="T5" s="147">
        <f>Model!Y81</f>
        <v>18745912.263579823</v>
      </c>
      <c r="U5" s="147">
        <f>Model!Z81</f>
        <v>19025226.356307164</v>
      </c>
      <c r="V5" s="147">
        <f>Model!AA81</f>
        <v>19308702.22901614</v>
      </c>
      <c r="W5" s="147">
        <f>Model!AB81</f>
        <v>19596401.892228484</v>
      </c>
      <c r="X5" s="147">
        <f>Model!AC81</f>
        <v>19888388.280422691</v>
      </c>
      <c r="Y5" s="147">
        <f>Model!AD81</f>
        <v>20184725.265800983</v>
      </c>
      <c r="Z5" s="147">
        <f>Model!AE81</f>
        <v>20485477.672261421</v>
      </c>
      <c r="AA5" s="147">
        <f>Model!AF81</f>
        <v>20790711.289578117</v>
      </c>
      <c r="AB5" s="147">
        <f>Model!AG81</f>
        <v>21100492.887792833</v>
      </c>
      <c r="AC5" s="147">
        <f>Model!AH81</f>
        <v>21414890.231820941</v>
      </c>
      <c r="AD5" s="147">
        <f>Model!AI81</f>
        <v>21733972.096275073</v>
      </c>
      <c r="AE5" s="147">
        <f>Model!AJ81</f>
        <v>22057808.280509572</v>
      </c>
      <c r="AF5" s="147">
        <f>Model!AK81</f>
        <v>22386469.623889171</v>
      </c>
      <c r="AG5" s="147">
        <f>Model!AL81</f>
        <v>22720028.02128512</v>
      </c>
      <c r="AH5" s="147">
        <f>Model!AM81</f>
        <v>23058556.438802272</v>
      </c>
      <c r="AI5" s="147">
        <f>Model!AN81</f>
        <v>23402128.929740425</v>
      </c>
      <c r="AJ5" s="147">
        <f>Model!AO81</f>
        <v>23750820.650793552</v>
      </c>
      <c r="AK5" s="147">
        <f>Model!AP81</f>
        <v>24104707.878490381</v>
      </c>
      <c r="AL5" s="147">
        <f>Model!AQ81</f>
        <v>24463868.02587989</v>
      </c>
      <c r="AM5" s="147">
        <f>Model!AR81</f>
        <v>24828379.659465499</v>
      </c>
      <c r="AN5" s="147">
        <f>Model!AS81</f>
        <v>25198322.516391538</v>
      </c>
      <c r="AO5" s="147">
        <f>Model!AT81</f>
        <v>25573777.521885771</v>
      </c>
      <c r="AP5" s="147">
        <f>Model!AU81</f>
        <v>0</v>
      </c>
    </row>
    <row r="6" spans="1:48" x14ac:dyDescent="0.35">
      <c r="D6" s="11" t="str">
        <f>Model!D82</f>
        <v>Operating expense</v>
      </c>
      <c r="E6" s="12" t="s">
        <v>114</v>
      </c>
      <c r="F6" s="147">
        <f>Model!K82</f>
        <v>0</v>
      </c>
      <c r="G6" s="147">
        <f>Model!L82</f>
        <v>-4800000</v>
      </c>
      <c r="H6" s="147">
        <f>Model!M82</f>
        <v>-4920000</v>
      </c>
      <c r="I6" s="147">
        <f>Model!N82</f>
        <v>-5043000</v>
      </c>
      <c r="J6" s="147">
        <f>Model!O82</f>
        <v>-5169074.9999999991</v>
      </c>
      <c r="K6" s="147">
        <f>Model!P82</f>
        <v>-5298301.8749999991</v>
      </c>
      <c r="L6" s="147">
        <f>Model!Q82</f>
        <v>-5430759.4218749981</v>
      </c>
      <c r="M6" s="147">
        <f>Model!R82</f>
        <v>-5566528.407421873</v>
      </c>
      <c r="N6" s="147">
        <f>Model!S82</f>
        <v>-5705691.6176074194</v>
      </c>
      <c r="O6" s="147">
        <f>Model!T82</f>
        <v>-5848333.9080476044</v>
      </c>
      <c r="P6" s="147">
        <f>Model!U82</f>
        <v>-5994542.2557487935</v>
      </c>
      <c r="Q6" s="147">
        <f>Model!V82</f>
        <v>-6144405.8121425118</v>
      </c>
      <c r="R6" s="147">
        <f>Model!W82</f>
        <v>-6298015.957446075</v>
      </c>
      <c r="S6" s="147">
        <f>Model!X82</f>
        <v>-6455466.3563822256</v>
      </c>
      <c r="T6" s="147">
        <f>Model!Y82</f>
        <v>-6616853.0152917812</v>
      </c>
      <c r="U6" s="147">
        <f>Model!Z82</f>
        <v>-6782274.3406740753</v>
      </c>
      <c r="V6" s="147">
        <f>Model!AA82</f>
        <v>-6951831.1991909258</v>
      </c>
      <c r="W6" s="147">
        <f>Model!AB82</f>
        <v>-7125626.9791706987</v>
      </c>
      <c r="X6" s="147">
        <f>Model!AC82</f>
        <v>-7303767.6536499653</v>
      </c>
      <c r="Y6" s="147">
        <f>Model!AD82</f>
        <v>-7486361.8449912136</v>
      </c>
      <c r="Z6" s="147">
        <f>Model!AE82</f>
        <v>-7673520.8911159933</v>
      </c>
      <c r="AA6" s="147">
        <f>Model!AF82</f>
        <v>-7865358.9133938923</v>
      </c>
      <c r="AB6" s="147">
        <f>Model!AG82</f>
        <v>-8061992.8862287384</v>
      </c>
      <c r="AC6" s="147">
        <f>Model!AH82</f>
        <v>-8263542.7083844561</v>
      </c>
      <c r="AD6" s="147">
        <f>Model!AI82</f>
        <v>-8470131.2760940678</v>
      </c>
      <c r="AE6" s="147">
        <f>Model!AJ82</f>
        <v>-8681884.5579964183</v>
      </c>
      <c r="AF6" s="147">
        <f>Model!AK82</f>
        <v>-8898931.6719463281</v>
      </c>
      <c r="AG6" s="147">
        <f>Model!AL82</f>
        <v>-9121404.9637449849</v>
      </c>
      <c r="AH6" s="147">
        <f>Model!AM82</f>
        <v>-9349440.0878386088</v>
      </c>
      <c r="AI6" s="147">
        <f>Model!AN82</f>
        <v>-9583176.0900345743</v>
      </c>
      <c r="AJ6" s="147">
        <f>Model!AO82</f>
        <v>-9822755.492285436</v>
      </c>
      <c r="AK6" s="147">
        <f>Model!AP82</f>
        <v>-10068324.379592571</v>
      </c>
      <c r="AL6" s="147">
        <f>Model!AQ82</f>
        <v>-10320032.489082385</v>
      </c>
      <c r="AM6" s="147">
        <f>Model!AR82</f>
        <v>-10578033.301309442</v>
      </c>
      <c r="AN6" s="147">
        <f>Model!AS82</f>
        <v>-10842484.133842178</v>
      </c>
      <c r="AO6" s="147">
        <f>Model!AT82</f>
        <v>-11113546.237188231</v>
      </c>
      <c r="AP6" s="147">
        <f>Model!AU82</f>
        <v>0</v>
      </c>
    </row>
    <row r="7" spans="1:48" x14ac:dyDescent="0.35">
      <c r="D7" s="13" t="str">
        <f>Model!D83</f>
        <v>EBITDA</v>
      </c>
      <c r="E7" s="181" t="s">
        <v>114</v>
      </c>
      <c r="F7" s="148">
        <f>Model!K83</f>
        <v>0</v>
      </c>
      <c r="G7" s="148">
        <f>Model!L83</f>
        <v>15044301.311999999</v>
      </c>
      <c r="H7" s="148">
        <f>Model!M83</f>
        <v>14932807.016908802</v>
      </c>
      <c r="I7" s="148">
        <f>Model!N83</f>
        <v>14819875.328743938</v>
      </c>
      <c r="J7" s="148">
        <f>Model!O83</f>
        <v>14705447.35098901</v>
      </c>
      <c r="K7" s="148">
        <f>Model!P83</f>
        <v>14589462.587966301</v>
      </c>
      <c r="L7" s="148">
        <f>Model!Q83</f>
        <v>14471858.90189231</v>
      </c>
      <c r="M7" s="148">
        <f>Model!R83</f>
        <v>14352572.468820866</v>
      </c>
      <c r="N7" s="148">
        <f>Model!S83</f>
        <v>14231537.733445384</v>
      </c>
      <c r="O7" s="148">
        <f>Model!T83</f>
        <v>14108687.362731151</v>
      </c>
      <c r="P7" s="148">
        <f>Model!U83</f>
        <v>13983952.198347859</v>
      </c>
      <c r="Q7" s="148">
        <f>Model!V83</f>
        <v>11787928.323808944</v>
      </c>
      <c r="R7" s="148">
        <f>Model!W83</f>
        <v>11901509.957131051</v>
      </c>
      <c r="S7" s="148">
        <f>Model!X83</f>
        <v>12015232.494322103</v>
      </c>
      <c r="T7" s="148">
        <f>Model!Y83</f>
        <v>12129059.248288043</v>
      </c>
      <c r="U7" s="148">
        <f>Model!Z83</f>
        <v>12242952.015633088</v>
      </c>
      <c r="V7" s="148">
        <f>Model!AA83</f>
        <v>12356871.029825214</v>
      </c>
      <c r="W7" s="148">
        <f>Model!AB83</f>
        <v>12470774.913057785</v>
      </c>
      <c r="X7" s="148">
        <f>Model!AC83</f>
        <v>12584620.626772726</v>
      </c>
      <c r="Y7" s="148">
        <f>Model!AD83</f>
        <v>12698363.420809768</v>
      </c>
      <c r="Z7" s="148">
        <f>Model!AE83</f>
        <v>12811956.781145427</v>
      </c>
      <c r="AA7" s="148">
        <f>Model!AF83</f>
        <v>12925352.376184225</v>
      </c>
      <c r="AB7" s="148">
        <f>Model!AG83</f>
        <v>13038500.001564095</v>
      </c>
      <c r="AC7" s="148">
        <f>Model!AH83</f>
        <v>13151347.523436485</v>
      </c>
      <c r="AD7" s="148">
        <f>Model!AI83</f>
        <v>13263840.820181005</v>
      </c>
      <c r="AE7" s="148">
        <f>Model!AJ83</f>
        <v>13375923.722513154</v>
      </c>
      <c r="AF7" s="148">
        <f>Model!AK83</f>
        <v>13487537.951942842</v>
      </c>
      <c r="AG7" s="148">
        <f>Model!AL83</f>
        <v>13598623.057540135</v>
      </c>
      <c r="AH7" s="148">
        <f>Model!AM83</f>
        <v>13709116.350963663</v>
      </c>
      <c r="AI7" s="148">
        <f>Model!AN83</f>
        <v>13818952.839705851</v>
      </c>
      <c r="AJ7" s="148">
        <f>Model!AO83</f>
        <v>13928065.158508116</v>
      </c>
      <c r="AK7" s="148">
        <f>Model!AP83</f>
        <v>14036383.49889781</v>
      </c>
      <c r="AL7" s="148">
        <f>Model!AQ83</f>
        <v>14143835.536797505</v>
      </c>
      <c r="AM7" s="148">
        <f>Model!AR83</f>
        <v>14250346.358156057</v>
      </c>
      <c r="AN7" s="148">
        <f>Model!AS83</f>
        <v>14355838.38254936</v>
      </c>
      <c r="AO7" s="148">
        <f>Model!AT83</f>
        <v>14460231.28469754</v>
      </c>
      <c r="AP7" s="148">
        <f>Model!AU83</f>
        <v>0</v>
      </c>
    </row>
    <row r="8" spans="1:48" s="149" customFormat="1" x14ac:dyDescent="0.35">
      <c r="D8" s="149" t="str">
        <f>Model!D84</f>
        <v>% of revenue</v>
      </c>
      <c r="E8" s="182"/>
      <c r="F8" s="150">
        <f>Model!K84</f>
        <v>0</v>
      </c>
      <c r="G8" s="150">
        <f>Model!L84</f>
        <v>0.75811695637289056</v>
      </c>
      <c r="H8" s="150">
        <f>Model!M84</f>
        <v>0.75217610306645333</v>
      </c>
      <c r="I8" s="150">
        <f>Model!N84</f>
        <v>0.74610926582707893</v>
      </c>
      <c r="J8" s="150">
        <f>Model!O84</f>
        <v>0.73991450417208282</v>
      </c>
      <c r="K8" s="150">
        <f>Model!P84</f>
        <v>0.73358987206097737</v>
      </c>
      <c r="L8" s="150">
        <f>Model!Q84</f>
        <v>0.72713341865227377</v>
      </c>
      <c r="M8" s="150">
        <f>Model!R84</f>
        <v>0.72054318907230397</v>
      </c>
      <c r="N8" s="150">
        <f>Model!S84</f>
        <v>0.71381722519502822</v>
      </c>
      <c r="O8" s="150">
        <f>Model!T84</f>
        <v>0.70695356643174068</v>
      </c>
      <c r="P8" s="150">
        <f>Model!U84</f>
        <v>0.69995025052953408</v>
      </c>
      <c r="Q8" s="150">
        <f>Model!V84</f>
        <v>0.65735604938210679</v>
      </c>
      <c r="R8" s="150">
        <f>Model!W84</f>
        <v>0.65394615293788472</v>
      </c>
      <c r="S8" s="150">
        <f>Model!X84</f>
        <v>0.65050232216113124</v>
      </c>
      <c r="T8" s="150">
        <f>Model!Y84</f>
        <v>0.64702421934689092</v>
      </c>
      <c r="U8" s="150">
        <f>Model!Z84</f>
        <v>0.64351150342946406</v>
      </c>
      <c r="V8" s="150">
        <f>Model!AA84</f>
        <v>0.63996382994896128</v>
      </c>
      <c r="W8" s="150">
        <f>Model!AB84</f>
        <v>0.63638085101752428</v>
      </c>
      <c r="X8" s="150">
        <f>Model!AC84</f>
        <v>0.63276221528521281</v>
      </c>
      <c r="Y8" s="150">
        <f>Model!AD84</f>
        <v>0.62910756790555022</v>
      </c>
      <c r="Z8" s="150">
        <f>Model!AE84</f>
        <v>0.62541655050072831</v>
      </c>
      <c r="AA8" s="150">
        <f>Model!AF84</f>
        <v>0.6216888011264623</v>
      </c>
      <c r="AB8" s="150">
        <f>Model!AG84</f>
        <v>0.61792395423650015</v>
      </c>
      <c r="AC8" s="150">
        <f>Model!AH84</f>
        <v>0.61412164064677555</v>
      </c>
      <c r="AD8" s="150">
        <f>Model!AI84</f>
        <v>0.61028148749920674</v>
      </c>
      <c r="AE8" s="150">
        <f>Model!AJ84</f>
        <v>0.6064031182251326</v>
      </c>
      <c r="AF8" s="150">
        <f>Model!AK84</f>
        <v>0.602486152508386</v>
      </c>
      <c r="AG8" s="150">
        <f>Model!AL84</f>
        <v>0.59853020624800057</v>
      </c>
      <c r="AH8" s="150">
        <f>Model!AM84</f>
        <v>0.59453489152054462</v>
      </c>
      <c r="AI8" s="150">
        <f>Model!AN84</f>
        <v>0.59049981654208117</v>
      </c>
      <c r="AJ8" s="150">
        <f>Model!AO84</f>
        <v>0.58642458562974997</v>
      </c>
      <c r="AK8" s="150">
        <f>Model!AP84</f>
        <v>0.58230879916296563</v>
      </c>
      <c r="AL8" s="150">
        <f>Model!AQ84</f>
        <v>0.57815205354423072</v>
      </c>
      <c r="AM8" s="150">
        <f>Model!AR84</f>
        <v>0.57395394115955922</v>
      </c>
      <c r="AN8" s="150">
        <f>Model!AS84</f>
        <v>0.56971405033850453</v>
      </c>
      <c r="AO8" s="150">
        <f>Model!AT84</f>
        <v>0.5654319653137917</v>
      </c>
      <c r="AP8" s="150">
        <f>Model!AU84</f>
        <v>0</v>
      </c>
    </row>
    <row r="9" spans="1:48" x14ac:dyDescent="0.35">
      <c r="D9" s="11" t="str">
        <f>Model!D85</f>
        <v>Depreciation expense</v>
      </c>
      <c r="E9" s="12" t="s">
        <v>114</v>
      </c>
      <c r="F9" s="147">
        <f>Model!K85</f>
        <v>0</v>
      </c>
      <c r="G9" s="147">
        <f>Model!L85</f>
        <v>-11428431.491941275</v>
      </c>
      <c r="H9" s="147">
        <f>Model!M85</f>
        <v>-11428431.491941275</v>
      </c>
      <c r="I9" s="147">
        <f>Model!N85</f>
        <v>-11428431.491941275</v>
      </c>
      <c r="J9" s="147">
        <f>Model!O85</f>
        <v>-11428431.491941275</v>
      </c>
      <c r="K9" s="147">
        <f>Model!P85</f>
        <v>-11428431.491941275</v>
      </c>
      <c r="L9" s="147">
        <f>Model!Q85</f>
        <v>-11428431.491941275</v>
      </c>
      <c r="M9" s="147">
        <f>Model!R85</f>
        <v>-11428431.491941275</v>
      </c>
      <c r="N9" s="147">
        <f>Model!S85</f>
        <v>-11428431.491941275</v>
      </c>
      <c r="O9" s="147">
        <f>Model!T85</f>
        <v>-11428431.491941275</v>
      </c>
      <c r="P9" s="147">
        <f>Model!U85</f>
        <v>-11428431.491941275</v>
      </c>
      <c r="Q9" s="147">
        <f>Model!V85</f>
        <v>-11428431.491941275</v>
      </c>
      <c r="R9" s="147">
        <f>Model!W85</f>
        <v>-11428431.491941275</v>
      </c>
      <c r="S9" s="147">
        <f>Model!X85</f>
        <v>-11428431.491941275</v>
      </c>
      <c r="T9" s="147">
        <f>Model!Y85</f>
        <v>-11428431.491941275</v>
      </c>
      <c r="U9" s="147">
        <f>Model!Z85</f>
        <v>-11428431.491941275</v>
      </c>
      <c r="V9" s="147">
        <f>Model!AA85</f>
        <v>-11428431.491941275</v>
      </c>
      <c r="W9" s="147">
        <f>Model!AB85</f>
        <v>-11428431.491941275</v>
      </c>
      <c r="X9" s="147">
        <f>Model!AC85</f>
        <v>-11428431.491941275</v>
      </c>
      <c r="Y9" s="147">
        <f>Model!AD85</f>
        <v>-11428431.491941275</v>
      </c>
      <c r="Z9" s="147">
        <f>Model!AE85</f>
        <v>-11428431.491941275</v>
      </c>
      <c r="AA9" s="147">
        <f>Model!AF85</f>
        <v>0</v>
      </c>
      <c r="AB9" s="147">
        <f>Model!AG85</f>
        <v>0</v>
      </c>
      <c r="AC9" s="147">
        <f>Model!AH85</f>
        <v>0</v>
      </c>
      <c r="AD9" s="147">
        <f>Model!AI85</f>
        <v>0</v>
      </c>
      <c r="AE9" s="147">
        <f>Model!AJ85</f>
        <v>0</v>
      </c>
      <c r="AF9" s="147">
        <f>Model!AK85</f>
        <v>0</v>
      </c>
      <c r="AG9" s="147">
        <f>Model!AL85</f>
        <v>0</v>
      </c>
      <c r="AH9" s="147">
        <f>Model!AM85</f>
        <v>0</v>
      </c>
      <c r="AI9" s="147">
        <f>Model!AN85</f>
        <v>0</v>
      </c>
      <c r="AJ9" s="147">
        <f>Model!AO85</f>
        <v>0</v>
      </c>
      <c r="AK9" s="147">
        <f>Model!AP85</f>
        <v>0</v>
      </c>
      <c r="AL9" s="147">
        <f>Model!AQ85</f>
        <v>0</v>
      </c>
      <c r="AM9" s="147">
        <f>Model!AR85</f>
        <v>0</v>
      </c>
      <c r="AN9" s="147">
        <f>Model!AS85</f>
        <v>0</v>
      </c>
      <c r="AO9" s="147">
        <f>Model!AT85</f>
        <v>0</v>
      </c>
      <c r="AP9" s="147">
        <f>Model!AU85</f>
        <v>0</v>
      </c>
    </row>
    <row r="10" spans="1:48" x14ac:dyDescent="0.35">
      <c r="D10" s="13" t="str">
        <f>Model!D86</f>
        <v>EBIT</v>
      </c>
      <c r="E10" s="181" t="s">
        <v>114</v>
      </c>
      <c r="F10" s="148">
        <f>Model!K86</f>
        <v>0</v>
      </c>
      <c r="G10" s="148">
        <f>Model!L86</f>
        <v>3615869.8200587239</v>
      </c>
      <c r="H10" s="148">
        <f>Model!M86</f>
        <v>3504375.524967527</v>
      </c>
      <c r="I10" s="148">
        <f>Model!N86</f>
        <v>3391443.8368026633</v>
      </c>
      <c r="J10" s="148">
        <f>Model!O86</f>
        <v>3277015.8590477351</v>
      </c>
      <c r="K10" s="148">
        <f>Model!P86</f>
        <v>3161031.0960250255</v>
      </c>
      <c r="L10" s="148">
        <f>Model!Q86</f>
        <v>3043427.4099510349</v>
      </c>
      <c r="M10" s="148">
        <f>Model!R86</f>
        <v>2924140.9768795911</v>
      </c>
      <c r="N10" s="148">
        <f>Model!S86</f>
        <v>2803106.2415041085</v>
      </c>
      <c r="O10" s="148">
        <f>Model!T86</f>
        <v>2680255.8707898762</v>
      </c>
      <c r="P10" s="148">
        <f>Model!U86</f>
        <v>2555520.706406584</v>
      </c>
      <c r="Q10" s="148">
        <f>Model!V86</f>
        <v>359496.83186766878</v>
      </c>
      <c r="R10" s="148">
        <f>Model!W86</f>
        <v>473078.46518977545</v>
      </c>
      <c r="S10" s="148">
        <f>Model!X86</f>
        <v>586801.00238082744</v>
      </c>
      <c r="T10" s="148">
        <f>Model!Y86</f>
        <v>700627.75634676777</v>
      </c>
      <c r="U10" s="148">
        <f>Model!Z86</f>
        <v>814520.52369181253</v>
      </c>
      <c r="V10" s="148">
        <f>Model!AA86</f>
        <v>928439.53788393922</v>
      </c>
      <c r="W10" s="148">
        <f>Model!AB86</f>
        <v>1042343.4211165104</v>
      </c>
      <c r="X10" s="148">
        <f>Model!AC86</f>
        <v>1156189.1348314509</v>
      </c>
      <c r="Y10" s="148">
        <f>Model!AD86</f>
        <v>1269931.9288684931</v>
      </c>
      <c r="Z10" s="148">
        <f>Model!AE86</f>
        <v>1383525.2892041523</v>
      </c>
      <c r="AA10" s="148">
        <f>Model!AF86</f>
        <v>12925352.376184225</v>
      </c>
      <c r="AB10" s="148">
        <f>Model!AG86</f>
        <v>13038500.001564095</v>
      </c>
      <c r="AC10" s="148">
        <f>Model!AH86</f>
        <v>13151347.523436485</v>
      </c>
      <c r="AD10" s="148">
        <f>Model!AI86</f>
        <v>13263840.820181005</v>
      </c>
      <c r="AE10" s="148">
        <f>Model!AJ86</f>
        <v>13375923.722513154</v>
      </c>
      <c r="AF10" s="148">
        <f>Model!AK86</f>
        <v>13487537.951942842</v>
      </c>
      <c r="AG10" s="148">
        <f>Model!AL86</f>
        <v>13598623.057540135</v>
      </c>
      <c r="AH10" s="148">
        <f>Model!AM86</f>
        <v>13709116.350963663</v>
      </c>
      <c r="AI10" s="148">
        <f>Model!AN86</f>
        <v>13818952.839705851</v>
      </c>
      <c r="AJ10" s="148">
        <f>Model!AO86</f>
        <v>13928065.158508116</v>
      </c>
      <c r="AK10" s="148">
        <f>Model!AP86</f>
        <v>14036383.49889781</v>
      </c>
      <c r="AL10" s="148">
        <f>Model!AQ86</f>
        <v>14143835.536797505</v>
      </c>
      <c r="AM10" s="148">
        <f>Model!AR86</f>
        <v>14250346.358156057</v>
      </c>
      <c r="AN10" s="148">
        <f>Model!AS86</f>
        <v>14355838.38254936</v>
      </c>
      <c r="AO10" s="148">
        <f>Model!AT86</f>
        <v>14460231.28469754</v>
      </c>
      <c r="AP10" s="148">
        <f>Model!AU86</f>
        <v>0</v>
      </c>
    </row>
    <row r="11" spans="1:48" s="149" customFormat="1" x14ac:dyDescent="0.35">
      <c r="D11" s="149" t="str">
        <f>Model!D87</f>
        <v>% of revenue</v>
      </c>
      <c r="E11" s="182"/>
      <c r="F11" s="150">
        <f>Model!K87</f>
        <v>0</v>
      </c>
      <c r="G11" s="150">
        <f>Model!L87</f>
        <v>0.18221199946566927</v>
      </c>
      <c r="H11" s="150">
        <f>Model!M87</f>
        <v>0.17651788595853579</v>
      </c>
      <c r="I11" s="150">
        <f>Model!N87</f>
        <v>0.1707428446623154</v>
      </c>
      <c r="J11" s="150">
        <f>Model!O87</f>
        <v>0.16488526371476103</v>
      </c>
      <c r="K11" s="150">
        <f>Model!P87</f>
        <v>0.15894351031315218</v>
      </c>
      <c r="L11" s="150">
        <f>Model!Q87</f>
        <v>0.15291593098163547</v>
      </c>
      <c r="M11" s="150">
        <f>Model!R87</f>
        <v>0.1468008518580865</v>
      </c>
      <c r="N11" s="150">
        <f>Model!S87</f>
        <v>0.14059657900038594</v>
      </c>
      <c r="O11" s="150">
        <f>Model!T87</f>
        <v>0.13430139871195759</v>
      </c>
      <c r="P11" s="150">
        <f>Model!U87</f>
        <v>0.12791357788637403</v>
      </c>
      <c r="Q11" s="150">
        <f>Model!V87</f>
        <v>2.0047408727842921E-2</v>
      </c>
      <c r="R11" s="150">
        <f>Model!W87</f>
        <v>2.5993999371756032E-2</v>
      </c>
      <c r="S11" s="150">
        <f>Model!X87</f>
        <v>3.1769290762837132E-2</v>
      </c>
      <c r="T11" s="150">
        <f>Model!Y87</f>
        <v>3.7374961884782239E-2</v>
      </c>
      <c r="U11" s="150">
        <f>Model!Z87</f>
        <v>4.2812658753034291E-2</v>
      </c>
      <c r="V11" s="150">
        <f>Model!AA87</f>
        <v>4.8083994816012401E-2</v>
      </c>
      <c r="W11" s="150">
        <f>Model!AB87</f>
        <v>5.3190551349627177E-2</v>
      </c>
      <c r="X11" s="150">
        <f>Model!AC87</f>
        <v>5.8133877845172391E-2</v>
      </c>
      <c r="Y11" s="150">
        <f>Model!AD87</f>
        <v>6.2915492390681241E-2</v>
      </c>
      <c r="Z11" s="150">
        <f>Model!AE87</f>
        <v>6.7536882045837257E-2</v>
      </c>
      <c r="AA11" s="150">
        <f>Model!AF87</f>
        <v>0.6216888011264623</v>
      </c>
      <c r="AB11" s="150">
        <f>Model!AG87</f>
        <v>0.61792395423650015</v>
      </c>
      <c r="AC11" s="150">
        <f>Model!AH87</f>
        <v>0.61412164064677555</v>
      </c>
      <c r="AD11" s="150">
        <f>Model!AI87</f>
        <v>0.61028148749920674</v>
      </c>
      <c r="AE11" s="150">
        <f>Model!AJ87</f>
        <v>0.6064031182251326</v>
      </c>
      <c r="AF11" s="150">
        <f>Model!AK87</f>
        <v>0.602486152508386</v>
      </c>
      <c r="AG11" s="150">
        <f>Model!AL87</f>
        <v>0.59853020624800057</v>
      </c>
      <c r="AH11" s="150">
        <f>Model!AM87</f>
        <v>0.59453489152054462</v>
      </c>
      <c r="AI11" s="150">
        <f>Model!AN87</f>
        <v>0.59049981654208117</v>
      </c>
      <c r="AJ11" s="150">
        <f>Model!AO87</f>
        <v>0.58642458562974997</v>
      </c>
      <c r="AK11" s="150">
        <f>Model!AP87</f>
        <v>0.58230879916296563</v>
      </c>
      <c r="AL11" s="150">
        <f>Model!AQ87</f>
        <v>0.57815205354423072</v>
      </c>
      <c r="AM11" s="150">
        <f>Model!AR87</f>
        <v>0.57395394115955922</v>
      </c>
      <c r="AN11" s="150">
        <f>Model!AS87</f>
        <v>0.56971405033850453</v>
      </c>
      <c r="AO11" s="150">
        <f>Model!AT87</f>
        <v>0.5654319653137917</v>
      </c>
      <c r="AP11" s="150">
        <f>Model!AU87</f>
        <v>0</v>
      </c>
    </row>
    <row r="12" spans="1:48" x14ac:dyDescent="0.35">
      <c r="D12" s="11" t="str">
        <f>Model!D88</f>
        <v>Interest expense</v>
      </c>
      <c r="E12" s="12" t="s">
        <v>114</v>
      </c>
      <c r="F12" s="147">
        <f>Model!K88</f>
        <v>0</v>
      </c>
      <c r="G12" s="147">
        <f>Model!L88</f>
        <v>-8568629.8388254847</v>
      </c>
      <c r="H12" s="147">
        <f>Model!M88</f>
        <v>-8147711.1930691414</v>
      </c>
      <c r="I12" s="147">
        <f>Model!N88</f>
        <v>-7706679.9645195631</v>
      </c>
      <c r="J12" s="147">
        <f>Model!O88</f>
        <v>-7244322.2658449784</v>
      </c>
      <c r="K12" s="147">
        <f>Model!P88</f>
        <v>-6759349.1353106163</v>
      </c>
      <c r="L12" s="147">
        <f>Model!Q88</f>
        <v>0</v>
      </c>
      <c r="M12" s="147">
        <f>Model!R88</f>
        <v>0</v>
      </c>
      <c r="N12" s="147">
        <f>Model!S88</f>
        <v>0</v>
      </c>
      <c r="O12" s="147">
        <f>Model!T88</f>
        <v>0</v>
      </c>
      <c r="P12" s="147">
        <f>Model!U88</f>
        <v>0</v>
      </c>
      <c r="Q12" s="147">
        <f>Model!V88</f>
        <v>0</v>
      </c>
      <c r="R12" s="147">
        <f>Model!W88</f>
        <v>0</v>
      </c>
      <c r="S12" s="147">
        <f>Model!X88</f>
        <v>0</v>
      </c>
      <c r="T12" s="147">
        <f>Model!Y88</f>
        <v>0</v>
      </c>
      <c r="U12" s="147">
        <f>Model!Z88</f>
        <v>0</v>
      </c>
      <c r="V12" s="147">
        <f>Model!AA88</f>
        <v>0</v>
      </c>
      <c r="W12" s="147">
        <f>Model!AB88</f>
        <v>0</v>
      </c>
      <c r="X12" s="147">
        <f>Model!AC88</f>
        <v>0</v>
      </c>
      <c r="Y12" s="147">
        <f>Model!AD88</f>
        <v>0</v>
      </c>
      <c r="Z12" s="147">
        <f>Model!AE88</f>
        <v>0</v>
      </c>
      <c r="AA12" s="147">
        <f>Model!AF88</f>
        <v>0</v>
      </c>
      <c r="AB12" s="147">
        <f>Model!AG88</f>
        <v>0</v>
      </c>
      <c r="AC12" s="147">
        <f>Model!AH88</f>
        <v>0</v>
      </c>
      <c r="AD12" s="147">
        <f>Model!AI88</f>
        <v>0</v>
      </c>
      <c r="AE12" s="147">
        <f>Model!AJ88</f>
        <v>0</v>
      </c>
      <c r="AF12" s="147">
        <f>Model!AK88</f>
        <v>0</v>
      </c>
      <c r="AG12" s="147">
        <f>Model!AL88</f>
        <v>0</v>
      </c>
      <c r="AH12" s="147">
        <f>Model!AM88</f>
        <v>0</v>
      </c>
      <c r="AI12" s="147">
        <f>Model!AN88</f>
        <v>0</v>
      </c>
      <c r="AJ12" s="147">
        <f>Model!AO88</f>
        <v>0</v>
      </c>
      <c r="AK12" s="147">
        <f>Model!AP88</f>
        <v>0</v>
      </c>
      <c r="AL12" s="147">
        <f>Model!AQ88</f>
        <v>0</v>
      </c>
      <c r="AM12" s="147">
        <f>Model!AR88</f>
        <v>0</v>
      </c>
      <c r="AN12" s="147">
        <f>Model!AS88</f>
        <v>0</v>
      </c>
      <c r="AO12" s="147">
        <f>Model!AT88</f>
        <v>0</v>
      </c>
      <c r="AP12" s="147">
        <f>Model!AU88</f>
        <v>0</v>
      </c>
    </row>
    <row r="13" spans="1:48" x14ac:dyDescent="0.35">
      <c r="D13" s="13" t="str">
        <f>Model!D89</f>
        <v>Profit before tax</v>
      </c>
      <c r="E13" s="181" t="s">
        <v>114</v>
      </c>
      <c r="F13" s="148">
        <f>Model!K89</f>
        <v>0</v>
      </c>
      <c r="G13" s="163">
        <f>Model!L89</f>
        <v>-4952760.0187667608</v>
      </c>
      <c r="H13" s="148">
        <f>Model!M89</f>
        <v>-4643335.6681016143</v>
      </c>
      <c r="I13" s="148">
        <f>Model!N89</f>
        <v>-4315236.1277168998</v>
      </c>
      <c r="J13" s="148">
        <f>Model!O89</f>
        <v>-3967306.4067972433</v>
      </c>
      <c r="K13" s="148">
        <f>Model!P89</f>
        <v>-3598318.0392855909</v>
      </c>
      <c r="L13" s="148">
        <f>Model!Q89</f>
        <v>3043427.4099510349</v>
      </c>
      <c r="M13" s="148">
        <f>Model!R89</f>
        <v>2924140.9768795911</v>
      </c>
      <c r="N13" s="148">
        <f>Model!S89</f>
        <v>2803106.2415041085</v>
      </c>
      <c r="O13" s="148">
        <f>Model!T89</f>
        <v>2680255.8707898762</v>
      </c>
      <c r="P13" s="148">
        <f>Model!U89</f>
        <v>2555520.706406584</v>
      </c>
      <c r="Q13" s="148">
        <f>Model!V89</f>
        <v>359496.83186766878</v>
      </c>
      <c r="R13" s="148">
        <f>Model!W89</f>
        <v>473078.46518977545</v>
      </c>
      <c r="S13" s="148">
        <f>Model!X89</f>
        <v>586801.00238082744</v>
      </c>
      <c r="T13" s="148">
        <f>Model!Y89</f>
        <v>700627.75634676777</v>
      </c>
      <c r="U13" s="148">
        <f>Model!Z89</f>
        <v>814520.52369181253</v>
      </c>
      <c r="V13" s="148">
        <f>Model!AA89</f>
        <v>928439.53788393922</v>
      </c>
      <c r="W13" s="148">
        <f>Model!AB89</f>
        <v>1042343.4211165104</v>
      </c>
      <c r="X13" s="148">
        <f>Model!AC89</f>
        <v>1156189.1348314509</v>
      </c>
      <c r="Y13" s="148">
        <f>Model!AD89</f>
        <v>1269931.9288684931</v>
      </c>
      <c r="Z13" s="148">
        <f>Model!AE89</f>
        <v>1383525.2892041523</v>
      </c>
      <c r="AA13" s="148">
        <f>Model!AF89</f>
        <v>12925352.376184225</v>
      </c>
      <c r="AB13" s="148">
        <f>Model!AG89</f>
        <v>13038500.001564095</v>
      </c>
      <c r="AC13" s="148">
        <f>Model!AH89</f>
        <v>13151347.523436485</v>
      </c>
      <c r="AD13" s="148">
        <f>Model!AI89</f>
        <v>13263840.820181005</v>
      </c>
      <c r="AE13" s="148">
        <f>Model!AJ89</f>
        <v>13375923.722513154</v>
      </c>
      <c r="AF13" s="148">
        <f>Model!AK89</f>
        <v>13487537.951942842</v>
      </c>
      <c r="AG13" s="148">
        <f>Model!AL89</f>
        <v>13598623.057540135</v>
      </c>
      <c r="AH13" s="148">
        <f>Model!AM89</f>
        <v>13709116.350963663</v>
      </c>
      <c r="AI13" s="148">
        <f>Model!AN89</f>
        <v>13818952.839705851</v>
      </c>
      <c r="AJ13" s="148">
        <f>Model!AO89</f>
        <v>13928065.158508116</v>
      </c>
      <c r="AK13" s="148">
        <f>Model!AP89</f>
        <v>14036383.49889781</v>
      </c>
      <c r="AL13" s="148">
        <f>Model!AQ89</f>
        <v>14143835.536797505</v>
      </c>
      <c r="AM13" s="148">
        <f>Model!AR89</f>
        <v>14250346.358156057</v>
      </c>
      <c r="AN13" s="148">
        <f>Model!AS89</f>
        <v>14355838.38254936</v>
      </c>
      <c r="AO13" s="148">
        <f>Model!AT89</f>
        <v>14460231.28469754</v>
      </c>
      <c r="AP13" s="148">
        <f>Model!AU89</f>
        <v>0</v>
      </c>
    </row>
    <row r="14" spans="1:48" x14ac:dyDescent="0.35">
      <c r="D14" s="11" t="str">
        <f>Model!D98</f>
        <v>Tax expense</v>
      </c>
      <c r="E14" s="12" t="s">
        <v>114</v>
      </c>
      <c r="F14" s="147">
        <f>Model!K98</f>
        <v>0</v>
      </c>
      <c r="G14" s="147">
        <f>Model!L98</f>
        <v>0</v>
      </c>
      <c r="H14" s="147">
        <f>Model!M98</f>
        <v>0</v>
      </c>
      <c r="I14" s="147">
        <f>Model!N98</f>
        <v>0</v>
      </c>
      <c r="J14" s="147">
        <f>Model!O98</f>
        <v>0</v>
      </c>
      <c r="K14" s="147">
        <f>Model!P98</f>
        <v>0</v>
      </c>
      <c r="L14" s="147">
        <f>Model!Q98</f>
        <v>0</v>
      </c>
      <c r="M14" s="147">
        <f>Model!R98</f>
        <v>0</v>
      </c>
      <c r="N14" s="147">
        <f>Model!S98</f>
        <v>0</v>
      </c>
      <c r="O14" s="147">
        <f>Model!T98</f>
        <v>0</v>
      </c>
      <c r="P14" s="147">
        <f>Model!U98</f>
        <v>0</v>
      </c>
      <c r="Q14" s="147">
        <f>Model!V98</f>
        <v>0</v>
      </c>
      <c r="R14" s="147">
        <f>Model!W98</f>
        <v>0</v>
      </c>
      <c r="S14" s="147">
        <f>Model!X98</f>
        <v>0</v>
      </c>
      <c r="T14" s="147">
        <f>Model!Y98</f>
        <v>0</v>
      </c>
      <c r="U14" s="147">
        <f>Model!Z98</f>
        <v>0</v>
      </c>
      <c r="V14" s="147">
        <f>Model!AA98</f>
        <v>0</v>
      </c>
      <c r="W14" s="147">
        <f>Model!AB98</f>
        <v>0</v>
      </c>
      <c r="X14" s="147">
        <f>Model!AC98</f>
        <v>0</v>
      </c>
      <c r="Y14" s="147">
        <f>Model!AD98</f>
        <v>0</v>
      </c>
      <c r="Z14" s="147">
        <f>Model!AE98</f>
        <v>373334.65087334363</v>
      </c>
      <c r="AA14" s="147">
        <f>Model!AF98</f>
        <v>3877605.7128552673</v>
      </c>
      <c r="AB14" s="147">
        <f>Model!AG98</f>
        <v>3911550.0004692283</v>
      </c>
      <c r="AC14" s="147">
        <f>Model!AH98</f>
        <v>3945404.2570309453</v>
      </c>
      <c r="AD14" s="147">
        <f>Model!AI98</f>
        <v>3979152.246054301</v>
      </c>
      <c r="AE14" s="147">
        <f>Model!AJ98</f>
        <v>4012777.1167539461</v>
      </c>
      <c r="AF14" s="147">
        <f>Model!AK98</f>
        <v>4046261.3855828526</v>
      </c>
      <c r="AG14" s="147">
        <f>Model!AL98</f>
        <v>4079586.9172620405</v>
      </c>
      <c r="AH14" s="147">
        <f>Model!AM98</f>
        <v>4112734.9052890986</v>
      </c>
      <c r="AI14" s="147">
        <f>Model!AN98</f>
        <v>4145685.8519117553</v>
      </c>
      <c r="AJ14" s="147">
        <f>Model!AO98</f>
        <v>4178419.5475524347</v>
      </c>
      <c r="AK14" s="147">
        <f>Model!AP98</f>
        <v>4210915.049669343</v>
      </c>
      <c r="AL14" s="147">
        <f>Model!AQ98</f>
        <v>4243150.6610392509</v>
      </c>
      <c r="AM14" s="147">
        <f>Model!AR98</f>
        <v>4275103.9074468166</v>
      </c>
      <c r="AN14" s="147">
        <f>Model!AS98</f>
        <v>4306751.5147648081</v>
      </c>
      <c r="AO14" s="147">
        <f>Model!AT98</f>
        <v>4338069.385409262</v>
      </c>
      <c r="AP14" s="147">
        <f>Model!AU98</f>
        <v>0</v>
      </c>
    </row>
    <row r="15" spans="1:48" ht="15" thickBot="1" x14ac:dyDescent="0.4">
      <c r="D15" s="151" t="str">
        <f>Model!D99</f>
        <v>Net profit</v>
      </c>
      <c r="E15" s="183" t="s">
        <v>114</v>
      </c>
      <c r="F15" s="152">
        <f>Model!K99</f>
        <v>0</v>
      </c>
      <c r="G15" s="152">
        <f>Model!L99</f>
        <v>-4952760.0187667608</v>
      </c>
      <c r="H15" s="152">
        <f>Model!M99</f>
        <v>-4643335.6681016143</v>
      </c>
      <c r="I15" s="152">
        <f>Model!N99</f>
        <v>-4315236.1277168998</v>
      </c>
      <c r="J15" s="152">
        <f>Model!O99</f>
        <v>-3967306.4067972433</v>
      </c>
      <c r="K15" s="152">
        <f>Model!P99</f>
        <v>-3598318.0392855909</v>
      </c>
      <c r="L15" s="152">
        <f>Model!Q99</f>
        <v>3043427.4099510349</v>
      </c>
      <c r="M15" s="152">
        <f>Model!R99</f>
        <v>2924140.9768795911</v>
      </c>
      <c r="N15" s="152">
        <f>Model!S99</f>
        <v>2803106.2415041085</v>
      </c>
      <c r="O15" s="152">
        <f>Model!T99</f>
        <v>2680255.8707898762</v>
      </c>
      <c r="P15" s="152">
        <f>Model!U99</f>
        <v>2555520.706406584</v>
      </c>
      <c r="Q15" s="152">
        <f>Model!V99</f>
        <v>359496.83186766878</v>
      </c>
      <c r="R15" s="152">
        <f>Model!W99</f>
        <v>473078.46518977545</v>
      </c>
      <c r="S15" s="152">
        <f>Model!X99</f>
        <v>586801.00238082744</v>
      </c>
      <c r="T15" s="152">
        <f>Model!Y99</f>
        <v>700627.75634676777</v>
      </c>
      <c r="U15" s="152">
        <f>Model!Z99</f>
        <v>814520.52369181253</v>
      </c>
      <c r="V15" s="152">
        <f>Model!AA99</f>
        <v>928439.53788393922</v>
      </c>
      <c r="W15" s="152">
        <f>Model!AB99</f>
        <v>1042343.4211165104</v>
      </c>
      <c r="X15" s="152">
        <f>Model!AC99</f>
        <v>1156189.1348314509</v>
      </c>
      <c r="Y15" s="152">
        <f>Model!AD99</f>
        <v>1269931.9288684931</v>
      </c>
      <c r="Z15" s="152">
        <f>Model!AE99</f>
        <v>1010190.6383308086</v>
      </c>
      <c r="AA15" s="152">
        <f>Model!AF99</f>
        <v>9047746.6633289568</v>
      </c>
      <c r="AB15" s="152">
        <f>Model!AG99</f>
        <v>9126950.0010948665</v>
      </c>
      <c r="AC15" s="152">
        <f>Model!AH99</f>
        <v>9205943.2664055396</v>
      </c>
      <c r="AD15" s="152">
        <f>Model!AI99</f>
        <v>9284688.5741267037</v>
      </c>
      <c r="AE15" s="152">
        <f>Model!AJ99</f>
        <v>9363146.6057592072</v>
      </c>
      <c r="AF15" s="152">
        <f>Model!AK99</f>
        <v>9441276.5663599893</v>
      </c>
      <c r="AG15" s="152">
        <f>Model!AL99</f>
        <v>9519036.1402780954</v>
      </c>
      <c r="AH15" s="152">
        <f>Model!AM99</f>
        <v>9596381.4456745647</v>
      </c>
      <c r="AI15" s="152">
        <f>Model!AN99</f>
        <v>9673266.9877940957</v>
      </c>
      <c r="AJ15" s="152">
        <f>Model!AO99</f>
        <v>9749645.6109556817</v>
      </c>
      <c r="AK15" s="152">
        <f>Model!AP99</f>
        <v>9825468.4492284656</v>
      </c>
      <c r="AL15" s="152">
        <f>Model!AQ99</f>
        <v>9900684.875758253</v>
      </c>
      <c r="AM15" s="152">
        <f>Model!AR99</f>
        <v>9975242.4507092405</v>
      </c>
      <c r="AN15" s="152">
        <f>Model!AS99</f>
        <v>10049086.867784552</v>
      </c>
      <c r="AO15" s="152">
        <f>Model!AT99</f>
        <v>10122161.899288278</v>
      </c>
      <c r="AP15" s="152">
        <f>Model!AU99</f>
        <v>0</v>
      </c>
    </row>
    <row r="16" spans="1:48" ht="15" thickTop="1" x14ac:dyDescent="0.35"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</row>
    <row r="17" spans="1:48" x14ac:dyDescent="0.35">
      <c r="A17" s="32" t="s">
        <v>232</v>
      </c>
      <c r="B17" s="32"/>
      <c r="C17" s="88"/>
      <c r="D17" s="32"/>
      <c r="E17" s="36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32"/>
      <c r="AR17" s="32"/>
      <c r="AS17" s="32"/>
      <c r="AT17" s="32"/>
      <c r="AU17" s="32"/>
      <c r="AV17" s="32"/>
    </row>
    <row r="18" spans="1:48" x14ac:dyDescent="0.35">
      <c r="D18" s="11" t="str">
        <f>Model!D206</f>
        <v>EBITDA</v>
      </c>
      <c r="E18" s="12" t="s">
        <v>114</v>
      </c>
      <c r="F18" s="147">
        <f>Model!K206</f>
        <v>0</v>
      </c>
      <c r="G18" s="147">
        <f>Model!L206</f>
        <v>15044301.311999999</v>
      </c>
      <c r="H18" s="147">
        <f>Model!M206</f>
        <v>14932807.016908802</v>
      </c>
      <c r="I18" s="147">
        <f>Model!N206</f>
        <v>14819875.328743938</v>
      </c>
      <c r="J18" s="147">
        <f>Model!O206</f>
        <v>14705447.35098901</v>
      </c>
      <c r="K18" s="147">
        <f>Model!P206</f>
        <v>14589462.587966301</v>
      </c>
      <c r="L18" s="147">
        <f>Model!Q206</f>
        <v>14471858.90189231</v>
      </c>
      <c r="M18" s="147">
        <f>Model!R206</f>
        <v>14352572.468820866</v>
      </c>
      <c r="N18" s="147">
        <f>Model!S206</f>
        <v>14231537.733445384</v>
      </c>
      <c r="O18" s="147">
        <f>Model!T206</f>
        <v>14108687.362731151</v>
      </c>
      <c r="P18" s="147">
        <f>Model!U206</f>
        <v>13983952.198347859</v>
      </c>
      <c r="Q18" s="147">
        <f>Model!V206</f>
        <v>11787928.323808944</v>
      </c>
      <c r="R18" s="147">
        <f>Model!W206</f>
        <v>11901509.957131051</v>
      </c>
      <c r="S18" s="147">
        <f>Model!X206</f>
        <v>12015232.494322103</v>
      </c>
      <c r="T18" s="147">
        <f>Model!Y206</f>
        <v>12129059.248288043</v>
      </c>
      <c r="U18" s="147">
        <f>Model!Z206</f>
        <v>12242952.015633088</v>
      </c>
      <c r="V18" s="147">
        <f>Model!AA206</f>
        <v>12356871.029825214</v>
      </c>
      <c r="W18" s="147">
        <f>Model!AB206</f>
        <v>12470774.913057785</v>
      </c>
      <c r="X18" s="147">
        <f>Model!AC206</f>
        <v>12584620.626772726</v>
      </c>
      <c r="Y18" s="147">
        <f>Model!AD206</f>
        <v>12698363.420809768</v>
      </c>
      <c r="Z18" s="147">
        <f>Model!AE206</f>
        <v>12811956.781145427</v>
      </c>
      <c r="AA18" s="147">
        <f>Model!AF206</f>
        <v>12925352.376184225</v>
      </c>
      <c r="AB18" s="147">
        <f>Model!AG206</f>
        <v>13038500.001564095</v>
      </c>
      <c r="AC18" s="147">
        <f>Model!AH206</f>
        <v>13151347.523436485</v>
      </c>
      <c r="AD18" s="147">
        <f>Model!AI206</f>
        <v>13263840.820181005</v>
      </c>
      <c r="AE18" s="147">
        <f>Model!AJ206</f>
        <v>13375923.722513154</v>
      </c>
      <c r="AF18" s="147">
        <f>Model!AK206</f>
        <v>13487537.951942842</v>
      </c>
      <c r="AG18" s="147">
        <f>Model!AL206</f>
        <v>13598623.057540135</v>
      </c>
      <c r="AH18" s="147">
        <f>Model!AM206</f>
        <v>13709116.350963663</v>
      </c>
      <c r="AI18" s="147">
        <f>Model!AN206</f>
        <v>13818952.839705851</v>
      </c>
      <c r="AJ18" s="147">
        <f>Model!AO206</f>
        <v>13928065.158508116</v>
      </c>
      <c r="AK18" s="147">
        <f>Model!AP206</f>
        <v>14036383.49889781</v>
      </c>
      <c r="AL18" s="147">
        <f>Model!AQ206</f>
        <v>14143835.536797505</v>
      </c>
      <c r="AM18" s="147">
        <f>Model!AR206</f>
        <v>14250346.358156057</v>
      </c>
      <c r="AN18" s="147">
        <f>Model!AS206</f>
        <v>14355838.38254936</v>
      </c>
      <c r="AO18" s="147">
        <f>Model!AT206</f>
        <v>14460231.28469754</v>
      </c>
      <c r="AP18" s="147">
        <f>Model!AU206</f>
        <v>0</v>
      </c>
    </row>
    <row r="19" spans="1:48" x14ac:dyDescent="0.35">
      <c r="D19" s="11" t="str">
        <f>Model!D207</f>
        <v>Total capital expenditure</v>
      </c>
      <c r="E19" s="12" t="s">
        <v>114</v>
      </c>
      <c r="F19" s="147">
        <f>Model!K207</f>
        <v>-220000000</v>
      </c>
      <c r="G19" s="147">
        <f>Model!L207</f>
        <v>0</v>
      </c>
      <c r="H19" s="147">
        <f>Model!M207</f>
        <v>0</v>
      </c>
      <c r="I19" s="147">
        <f>Model!N207</f>
        <v>0</v>
      </c>
      <c r="J19" s="147">
        <f>Model!O207</f>
        <v>0</v>
      </c>
      <c r="K19" s="147">
        <f>Model!P207</f>
        <v>0</v>
      </c>
      <c r="L19" s="147">
        <f>Model!Q207</f>
        <v>0</v>
      </c>
      <c r="M19" s="147">
        <f>Model!R207</f>
        <v>0</v>
      </c>
      <c r="N19" s="147">
        <f>Model!S207</f>
        <v>0</v>
      </c>
      <c r="O19" s="147">
        <f>Model!T207</f>
        <v>0</v>
      </c>
      <c r="P19" s="147">
        <f>Model!U207</f>
        <v>0</v>
      </c>
      <c r="Q19" s="147">
        <f>Model!V207</f>
        <v>0</v>
      </c>
      <c r="R19" s="147">
        <f>Model!W207</f>
        <v>0</v>
      </c>
      <c r="S19" s="147">
        <f>Model!X207</f>
        <v>0</v>
      </c>
      <c r="T19" s="147">
        <f>Model!Y207</f>
        <v>0</v>
      </c>
      <c r="U19" s="147">
        <f>Model!Z207</f>
        <v>0</v>
      </c>
      <c r="V19" s="147">
        <f>Model!AA207</f>
        <v>0</v>
      </c>
      <c r="W19" s="147">
        <f>Model!AB207</f>
        <v>0</v>
      </c>
      <c r="X19" s="147">
        <f>Model!AC207</f>
        <v>0</v>
      </c>
      <c r="Y19" s="147">
        <f>Model!AD207</f>
        <v>0</v>
      </c>
      <c r="Z19" s="147">
        <f>Model!AE207</f>
        <v>0</v>
      </c>
      <c r="AA19" s="147">
        <f>Model!AF207</f>
        <v>0</v>
      </c>
      <c r="AB19" s="147">
        <f>Model!AG207</f>
        <v>0</v>
      </c>
      <c r="AC19" s="147">
        <f>Model!AH207</f>
        <v>0</v>
      </c>
      <c r="AD19" s="147">
        <f>Model!AI207</f>
        <v>0</v>
      </c>
      <c r="AE19" s="147">
        <f>Model!AJ207</f>
        <v>0</v>
      </c>
      <c r="AF19" s="147">
        <f>Model!AK207</f>
        <v>0</v>
      </c>
      <c r="AG19" s="147">
        <f>Model!AL207</f>
        <v>0</v>
      </c>
      <c r="AH19" s="147">
        <f>Model!AM207</f>
        <v>0</v>
      </c>
      <c r="AI19" s="147">
        <f>Model!AN207</f>
        <v>0</v>
      </c>
      <c r="AJ19" s="147">
        <f>Model!AO207</f>
        <v>0</v>
      </c>
      <c r="AK19" s="147">
        <f>Model!AP207</f>
        <v>0</v>
      </c>
      <c r="AL19" s="147">
        <f>Model!AQ207</f>
        <v>0</v>
      </c>
      <c r="AM19" s="147">
        <f>Model!AR207</f>
        <v>0</v>
      </c>
      <c r="AN19" s="147">
        <f>Model!AS207</f>
        <v>0</v>
      </c>
      <c r="AO19" s="147">
        <f>Model!AT207</f>
        <v>0</v>
      </c>
      <c r="AP19" s="147">
        <f>Model!AU207</f>
        <v>0</v>
      </c>
    </row>
    <row r="20" spans="1:48" x14ac:dyDescent="0.35">
      <c r="D20" s="11" t="str">
        <f>Model!D208</f>
        <v>Interest during construction</v>
      </c>
      <c r="E20" s="12" t="s">
        <v>114</v>
      </c>
      <c r="F20" s="147">
        <f>Model!K208</f>
        <v>-8568629.8388254847</v>
      </c>
      <c r="G20" s="147">
        <f>Model!L208</f>
        <v>0</v>
      </c>
      <c r="H20" s="147">
        <f>Model!M208</f>
        <v>0</v>
      </c>
      <c r="I20" s="147">
        <f>Model!N208</f>
        <v>0</v>
      </c>
      <c r="J20" s="147">
        <f>Model!O208</f>
        <v>0</v>
      </c>
      <c r="K20" s="147">
        <f>Model!P208</f>
        <v>0</v>
      </c>
      <c r="L20" s="147">
        <f>Model!Q208</f>
        <v>0</v>
      </c>
      <c r="M20" s="147">
        <f>Model!R208</f>
        <v>0</v>
      </c>
      <c r="N20" s="147">
        <f>Model!S208</f>
        <v>0</v>
      </c>
      <c r="O20" s="147">
        <f>Model!T208</f>
        <v>0</v>
      </c>
      <c r="P20" s="147">
        <f>Model!U208</f>
        <v>0</v>
      </c>
      <c r="Q20" s="147">
        <f>Model!V208</f>
        <v>0</v>
      </c>
      <c r="R20" s="147">
        <f>Model!W208</f>
        <v>0</v>
      </c>
      <c r="S20" s="147">
        <f>Model!X208</f>
        <v>0</v>
      </c>
      <c r="T20" s="147">
        <f>Model!Y208</f>
        <v>0</v>
      </c>
      <c r="U20" s="147">
        <f>Model!Z208</f>
        <v>0</v>
      </c>
      <c r="V20" s="147">
        <f>Model!AA208</f>
        <v>0</v>
      </c>
      <c r="W20" s="147">
        <f>Model!AB208</f>
        <v>0</v>
      </c>
      <c r="X20" s="147">
        <f>Model!AC208</f>
        <v>0</v>
      </c>
      <c r="Y20" s="147">
        <f>Model!AD208</f>
        <v>0</v>
      </c>
      <c r="Z20" s="147">
        <f>Model!AE208</f>
        <v>0</v>
      </c>
      <c r="AA20" s="147">
        <f>Model!AF208</f>
        <v>0</v>
      </c>
      <c r="AB20" s="147">
        <f>Model!AG208</f>
        <v>0</v>
      </c>
      <c r="AC20" s="147">
        <f>Model!AH208</f>
        <v>0</v>
      </c>
      <c r="AD20" s="147">
        <f>Model!AI208</f>
        <v>0</v>
      </c>
      <c r="AE20" s="147">
        <f>Model!AJ208</f>
        <v>0</v>
      </c>
      <c r="AF20" s="147">
        <f>Model!AK208</f>
        <v>0</v>
      </c>
      <c r="AG20" s="147">
        <f>Model!AL208</f>
        <v>0</v>
      </c>
      <c r="AH20" s="147">
        <f>Model!AM208</f>
        <v>0</v>
      </c>
      <c r="AI20" s="147">
        <f>Model!AN208</f>
        <v>0</v>
      </c>
      <c r="AJ20" s="147">
        <f>Model!AO208</f>
        <v>0</v>
      </c>
      <c r="AK20" s="147">
        <f>Model!AP208</f>
        <v>0</v>
      </c>
      <c r="AL20" s="147">
        <f>Model!AQ208</f>
        <v>0</v>
      </c>
      <c r="AM20" s="147">
        <f>Model!AR208</f>
        <v>0</v>
      </c>
      <c r="AN20" s="147">
        <f>Model!AS208</f>
        <v>0</v>
      </c>
      <c r="AO20" s="147">
        <f>Model!AT208</f>
        <v>0</v>
      </c>
      <c r="AP20" s="147">
        <f>Model!AU208</f>
        <v>0</v>
      </c>
    </row>
    <row r="21" spans="1:48" x14ac:dyDescent="0.35">
      <c r="D21" s="11" t="str">
        <f>Model!D209</f>
        <v>Changes in working capital</v>
      </c>
      <c r="E21" s="12" t="s">
        <v>114</v>
      </c>
      <c r="F21" s="147">
        <f>Model!K209</f>
        <v>0</v>
      </c>
      <c r="G21" s="147">
        <f>Model!L209</f>
        <v>0</v>
      </c>
      <c r="H21" s="147">
        <f>Model!M209</f>
        <v>0</v>
      </c>
      <c r="I21" s="147">
        <f>Model!N209</f>
        <v>0</v>
      </c>
      <c r="J21" s="147">
        <f>Model!O209</f>
        <v>0</v>
      </c>
      <c r="K21" s="147">
        <f>Model!P209</f>
        <v>0</v>
      </c>
      <c r="L21" s="147">
        <f>Model!Q209</f>
        <v>0</v>
      </c>
      <c r="M21" s="147">
        <f>Model!R209</f>
        <v>0</v>
      </c>
      <c r="N21" s="147">
        <f>Model!S209</f>
        <v>0</v>
      </c>
      <c r="O21" s="147">
        <f>Model!T209</f>
        <v>0</v>
      </c>
      <c r="P21" s="147">
        <f>Model!U209</f>
        <v>0</v>
      </c>
      <c r="Q21" s="147">
        <f>Model!V209</f>
        <v>0</v>
      </c>
      <c r="R21" s="147">
        <f>Model!W209</f>
        <v>0</v>
      </c>
      <c r="S21" s="147">
        <f>Model!X209</f>
        <v>0</v>
      </c>
      <c r="T21" s="147">
        <f>Model!Y209</f>
        <v>0</v>
      </c>
      <c r="U21" s="147">
        <f>Model!Z209</f>
        <v>0</v>
      </c>
      <c r="V21" s="147">
        <f>Model!AA209</f>
        <v>0</v>
      </c>
      <c r="W21" s="147">
        <f>Model!AB209</f>
        <v>0</v>
      </c>
      <c r="X21" s="147">
        <f>Model!AC209</f>
        <v>0</v>
      </c>
      <c r="Y21" s="147">
        <f>Model!AD209</f>
        <v>0</v>
      </c>
      <c r="Z21" s="147">
        <f>Model!AE209</f>
        <v>0</v>
      </c>
      <c r="AA21" s="147">
        <f>Model!AF209</f>
        <v>0</v>
      </c>
      <c r="AB21" s="147">
        <f>Model!AG209</f>
        <v>0</v>
      </c>
      <c r="AC21" s="147">
        <f>Model!AH209</f>
        <v>0</v>
      </c>
      <c r="AD21" s="147">
        <f>Model!AI209</f>
        <v>0</v>
      </c>
      <c r="AE21" s="147">
        <f>Model!AJ209</f>
        <v>0</v>
      </c>
      <c r="AF21" s="147">
        <f>Model!AK209</f>
        <v>0</v>
      </c>
      <c r="AG21" s="147">
        <f>Model!AL209</f>
        <v>0</v>
      </c>
      <c r="AH21" s="147">
        <f>Model!AM209</f>
        <v>0</v>
      </c>
      <c r="AI21" s="147">
        <f>Model!AN209</f>
        <v>0</v>
      </c>
      <c r="AJ21" s="147">
        <f>Model!AO209</f>
        <v>0</v>
      </c>
      <c r="AK21" s="147">
        <f>Model!AP209</f>
        <v>0</v>
      </c>
      <c r="AL21" s="147">
        <f>Model!AQ209</f>
        <v>0</v>
      </c>
      <c r="AM21" s="147">
        <f>Model!AR209</f>
        <v>0</v>
      </c>
      <c r="AN21" s="147">
        <f>Model!AS209</f>
        <v>0</v>
      </c>
      <c r="AO21" s="147">
        <f>Model!AT209</f>
        <v>0</v>
      </c>
      <c r="AP21" s="147">
        <f>Model!AU209</f>
        <v>0</v>
      </c>
    </row>
    <row r="22" spans="1:48" x14ac:dyDescent="0.35">
      <c r="D22" s="11" t="str">
        <f>Model!D210</f>
        <v>Tax expense</v>
      </c>
      <c r="E22" s="12" t="s">
        <v>114</v>
      </c>
      <c r="F22" s="147">
        <f>Model!K210</f>
        <v>0</v>
      </c>
      <c r="G22" s="147">
        <f>Model!L210</f>
        <v>0</v>
      </c>
      <c r="H22" s="147">
        <f>Model!M210</f>
        <v>0</v>
      </c>
      <c r="I22" s="147">
        <f>Model!N210</f>
        <v>0</v>
      </c>
      <c r="J22" s="147">
        <f>Model!O210</f>
        <v>0</v>
      </c>
      <c r="K22" s="147">
        <f>Model!P210</f>
        <v>0</v>
      </c>
      <c r="L22" s="147">
        <f>Model!Q210</f>
        <v>0</v>
      </c>
      <c r="M22" s="147">
        <f>Model!R210</f>
        <v>0</v>
      </c>
      <c r="N22" s="147">
        <f>Model!S210</f>
        <v>0</v>
      </c>
      <c r="O22" s="147">
        <f>Model!T210</f>
        <v>0</v>
      </c>
      <c r="P22" s="147">
        <f>Model!U210</f>
        <v>0</v>
      </c>
      <c r="Q22" s="147">
        <f>Model!V210</f>
        <v>0</v>
      </c>
      <c r="R22" s="147">
        <f>Model!W210</f>
        <v>0</v>
      </c>
      <c r="S22" s="147">
        <f>Model!X210</f>
        <v>0</v>
      </c>
      <c r="T22" s="147">
        <f>Model!Y210</f>
        <v>0</v>
      </c>
      <c r="U22" s="147">
        <f>Model!Z210</f>
        <v>0</v>
      </c>
      <c r="V22" s="147">
        <f>Model!AA210</f>
        <v>0</v>
      </c>
      <c r="W22" s="147">
        <f>Model!AB210</f>
        <v>0</v>
      </c>
      <c r="X22" s="147">
        <f>Model!AC210</f>
        <v>0</v>
      </c>
      <c r="Y22" s="147">
        <f>Model!AD210</f>
        <v>0</v>
      </c>
      <c r="Z22" s="147">
        <f>Model!AE210</f>
        <v>-373334.65087334363</v>
      </c>
      <c r="AA22" s="147">
        <f>Model!AF210</f>
        <v>-3877605.7128552673</v>
      </c>
      <c r="AB22" s="147">
        <f>Model!AG210</f>
        <v>-3911550.0004692283</v>
      </c>
      <c r="AC22" s="147">
        <f>Model!AH210</f>
        <v>-3945404.2570309453</v>
      </c>
      <c r="AD22" s="147">
        <f>Model!AI210</f>
        <v>-3979152.246054301</v>
      </c>
      <c r="AE22" s="147">
        <f>Model!AJ210</f>
        <v>-4012777.1167539461</v>
      </c>
      <c r="AF22" s="147">
        <f>Model!AK210</f>
        <v>-4046261.3855828526</v>
      </c>
      <c r="AG22" s="147">
        <f>Model!AL210</f>
        <v>-4079586.9172620405</v>
      </c>
      <c r="AH22" s="147">
        <f>Model!AM210</f>
        <v>-4112734.9052890986</v>
      </c>
      <c r="AI22" s="147">
        <f>Model!AN210</f>
        <v>-4145685.8519117553</v>
      </c>
      <c r="AJ22" s="147">
        <f>Model!AO210</f>
        <v>-4178419.5475524347</v>
      </c>
      <c r="AK22" s="147">
        <f>Model!AP210</f>
        <v>-4210915.049669343</v>
      </c>
      <c r="AL22" s="147">
        <f>Model!AQ210</f>
        <v>-4243150.6610392509</v>
      </c>
      <c r="AM22" s="147">
        <f>Model!AR210</f>
        <v>-4275103.9074468166</v>
      </c>
      <c r="AN22" s="147">
        <f>Model!AS210</f>
        <v>-4306751.5147648081</v>
      </c>
      <c r="AO22" s="147">
        <f>Model!AT210</f>
        <v>-4338069.385409262</v>
      </c>
      <c r="AP22" s="147">
        <f>Model!AU210</f>
        <v>0</v>
      </c>
    </row>
    <row r="23" spans="1:48" x14ac:dyDescent="0.35">
      <c r="D23" s="13" t="str">
        <f>Model!D211</f>
        <v>Cash available before debt service</v>
      </c>
      <c r="E23" s="181" t="s">
        <v>114</v>
      </c>
      <c r="F23" s="148">
        <f>Model!K211</f>
        <v>-228568629.83882549</v>
      </c>
      <c r="G23" s="148">
        <f>Model!L211</f>
        <v>15044301.311999999</v>
      </c>
      <c r="H23" s="148">
        <f>Model!M211</f>
        <v>14932807.016908802</v>
      </c>
      <c r="I23" s="148">
        <f>Model!N211</f>
        <v>14819875.328743938</v>
      </c>
      <c r="J23" s="148">
        <f>Model!O211</f>
        <v>14705447.35098901</v>
      </c>
      <c r="K23" s="148">
        <f>Model!P211</f>
        <v>14589462.587966301</v>
      </c>
      <c r="L23" s="148">
        <f>Model!Q211</f>
        <v>-81688014.342538416</v>
      </c>
      <c r="M23" s="148">
        <f>Model!R211</f>
        <v>-67335441.873717546</v>
      </c>
      <c r="N23" s="148">
        <f>Model!S211</f>
        <v>-53103904.140272163</v>
      </c>
      <c r="O23" s="148">
        <f>Model!T211</f>
        <v>-38995216.777541012</v>
      </c>
      <c r="P23" s="148">
        <f>Model!U211</f>
        <v>-25011264.579193152</v>
      </c>
      <c r="Q23" s="148">
        <f>Model!V211</f>
        <v>-13223336.255384209</v>
      </c>
      <c r="R23" s="148">
        <f>Model!W211</f>
        <v>-1321826.2982531581</v>
      </c>
      <c r="S23" s="148">
        <f>Model!X211</f>
        <v>10693406.196068944</v>
      </c>
      <c r="T23" s="148">
        <f>Model!Y211</f>
        <v>12129059.248288043</v>
      </c>
      <c r="U23" s="148">
        <f>Model!Z211</f>
        <v>12242952.015633088</v>
      </c>
      <c r="V23" s="148">
        <f>Model!AA211</f>
        <v>12356871.029825214</v>
      </c>
      <c r="W23" s="148">
        <f>Model!AB211</f>
        <v>12470774.913057785</v>
      </c>
      <c r="X23" s="148">
        <f>Model!AC211</f>
        <v>12584620.626772726</v>
      </c>
      <c r="Y23" s="148">
        <f>Model!AD211</f>
        <v>12698363.420809768</v>
      </c>
      <c r="Z23" s="148">
        <f>Model!AE211</f>
        <v>12438622.130272083</v>
      </c>
      <c r="AA23" s="148">
        <f>Model!AF211</f>
        <v>9047746.6633289568</v>
      </c>
      <c r="AB23" s="148">
        <f>Model!AG211</f>
        <v>9126950.0010948665</v>
      </c>
      <c r="AC23" s="148">
        <f>Model!AH211</f>
        <v>9205943.2664055396</v>
      </c>
      <c r="AD23" s="148">
        <f>Model!AI211</f>
        <v>9284688.5741267037</v>
      </c>
      <c r="AE23" s="148">
        <f>Model!AJ211</f>
        <v>9363146.6057592072</v>
      </c>
      <c r="AF23" s="148">
        <f>Model!AK211</f>
        <v>9441276.5663599893</v>
      </c>
      <c r="AG23" s="148">
        <f>Model!AL211</f>
        <v>9519036.1402780954</v>
      </c>
      <c r="AH23" s="148">
        <f>Model!AM211</f>
        <v>9596381.4456745647</v>
      </c>
      <c r="AI23" s="148">
        <f>Model!AN211</f>
        <v>9673266.9877940957</v>
      </c>
      <c r="AJ23" s="148">
        <f>Model!AO211</f>
        <v>9749645.6109556817</v>
      </c>
      <c r="AK23" s="148">
        <f>Model!AP211</f>
        <v>9825468.4492284656</v>
      </c>
      <c r="AL23" s="148">
        <f>Model!AQ211</f>
        <v>9900684.875758253</v>
      </c>
      <c r="AM23" s="148">
        <f>Model!AR211</f>
        <v>9975242.4507092405</v>
      </c>
      <c r="AN23" s="148">
        <f>Model!AS211</f>
        <v>10049086.867784552</v>
      </c>
      <c r="AO23" s="148">
        <f>Model!AT211</f>
        <v>10122161.899288278</v>
      </c>
      <c r="AP23" s="148">
        <f>Model!AU211</f>
        <v>0</v>
      </c>
    </row>
    <row r="24" spans="1:48" x14ac:dyDescent="0.35"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</row>
    <row r="25" spans="1:48" x14ac:dyDescent="0.35">
      <c r="D25" s="11" t="str">
        <f>Model!D213</f>
        <v>Equity contribution</v>
      </c>
      <c r="E25" s="12" t="s">
        <v>114</v>
      </c>
      <c r="F25" s="147">
        <f>Model!K213</f>
        <v>96743555.395356506</v>
      </c>
      <c r="G25" s="147">
        <f>Model!L213</f>
        <v>0</v>
      </c>
      <c r="H25" s="147">
        <f>Model!M213</f>
        <v>0</v>
      </c>
      <c r="I25" s="147">
        <f>Model!N213</f>
        <v>0</v>
      </c>
      <c r="J25" s="147">
        <f>Model!O213</f>
        <v>0</v>
      </c>
      <c r="K25" s="147">
        <f>Model!P213</f>
        <v>0</v>
      </c>
      <c r="L25" s="147">
        <f>Model!Q213</f>
        <v>0</v>
      </c>
      <c r="M25" s="147">
        <f>Model!R213</f>
        <v>0</v>
      </c>
      <c r="N25" s="147">
        <f>Model!S213</f>
        <v>0</v>
      </c>
      <c r="O25" s="147">
        <f>Model!T213</f>
        <v>0</v>
      </c>
      <c r="P25" s="147">
        <f>Model!U213</f>
        <v>0</v>
      </c>
      <c r="Q25" s="147">
        <f>Model!V213</f>
        <v>0</v>
      </c>
      <c r="R25" s="147">
        <f>Model!W213</f>
        <v>0</v>
      </c>
      <c r="S25" s="147">
        <f>Model!X213</f>
        <v>0</v>
      </c>
      <c r="T25" s="147">
        <f>Model!Y213</f>
        <v>0</v>
      </c>
      <c r="U25" s="147">
        <f>Model!Z213</f>
        <v>0</v>
      </c>
      <c r="V25" s="147">
        <f>Model!AA213</f>
        <v>0</v>
      </c>
      <c r="W25" s="147">
        <f>Model!AB213</f>
        <v>0</v>
      </c>
      <c r="X25" s="147">
        <f>Model!AC213</f>
        <v>0</v>
      </c>
      <c r="Y25" s="147">
        <f>Model!AD213</f>
        <v>0</v>
      </c>
      <c r="Z25" s="147">
        <f>Model!AE213</f>
        <v>0</v>
      </c>
      <c r="AA25" s="147">
        <f>Model!AF213</f>
        <v>0</v>
      </c>
      <c r="AB25" s="147">
        <f>Model!AG213</f>
        <v>0</v>
      </c>
      <c r="AC25" s="147">
        <f>Model!AH213</f>
        <v>0</v>
      </c>
      <c r="AD25" s="147">
        <f>Model!AI213</f>
        <v>0</v>
      </c>
      <c r="AE25" s="147">
        <f>Model!AJ213</f>
        <v>0</v>
      </c>
      <c r="AF25" s="147">
        <f>Model!AK213</f>
        <v>0</v>
      </c>
      <c r="AG25" s="147">
        <f>Model!AL213</f>
        <v>0</v>
      </c>
      <c r="AH25" s="147">
        <f>Model!AM213</f>
        <v>0</v>
      </c>
      <c r="AI25" s="147">
        <f>Model!AN213</f>
        <v>0</v>
      </c>
      <c r="AJ25" s="147">
        <f>Model!AO213</f>
        <v>0</v>
      </c>
      <c r="AK25" s="147">
        <f>Model!AP213</f>
        <v>0</v>
      </c>
      <c r="AL25" s="147">
        <f>Model!AQ213</f>
        <v>0</v>
      </c>
      <c r="AM25" s="147">
        <f>Model!AR213</f>
        <v>0</v>
      </c>
      <c r="AN25" s="147">
        <f>Model!AS213</f>
        <v>0</v>
      </c>
      <c r="AO25" s="147">
        <f>Model!AT213</f>
        <v>0</v>
      </c>
      <c r="AP25" s="147">
        <f>Model!AU213</f>
        <v>0</v>
      </c>
    </row>
    <row r="26" spans="1:48" x14ac:dyDescent="0.35">
      <c r="D26" s="11" t="str">
        <f>Model!D214</f>
        <v>Debt drawdown</v>
      </c>
      <c r="E26" s="12" t="s">
        <v>114</v>
      </c>
      <c r="F26" s="147">
        <f>Model!K214</f>
        <v>131825074.44346899</v>
      </c>
      <c r="G26" s="147">
        <f>Model!L214</f>
        <v>0</v>
      </c>
      <c r="H26" s="147">
        <f>Model!M214</f>
        <v>0</v>
      </c>
      <c r="I26" s="147">
        <f>Model!N214</f>
        <v>0</v>
      </c>
      <c r="J26" s="147">
        <f>Model!O214</f>
        <v>0</v>
      </c>
      <c r="K26" s="147">
        <f>Model!P214</f>
        <v>0</v>
      </c>
      <c r="L26" s="147">
        <f>Model!Q214</f>
        <v>0</v>
      </c>
      <c r="M26" s="147">
        <f>Model!R214</f>
        <v>0</v>
      </c>
      <c r="N26" s="147">
        <f>Model!S214</f>
        <v>0</v>
      </c>
      <c r="O26" s="147">
        <f>Model!T214</f>
        <v>0</v>
      </c>
      <c r="P26" s="147">
        <f>Model!U214</f>
        <v>0</v>
      </c>
      <c r="Q26" s="147">
        <f>Model!V214</f>
        <v>0</v>
      </c>
      <c r="R26" s="147">
        <f>Model!W214</f>
        <v>0</v>
      </c>
      <c r="S26" s="147">
        <f>Model!X214</f>
        <v>0</v>
      </c>
      <c r="T26" s="147">
        <f>Model!Y214</f>
        <v>0</v>
      </c>
      <c r="U26" s="147">
        <f>Model!Z214</f>
        <v>0</v>
      </c>
      <c r="V26" s="147">
        <f>Model!AA214</f>
        <v>0</v>
      </c>
      <c r="W26" s="147">
        <f>Model!AB214</f>
        <v>0</v>
      </c>
      <c r="X26" s="147">
        <f>Model!AC214</f>
        <v>0</v>
      </c>
      <c r="Y26" s="147">
        <f>Model!AD214</f>
        <v>0</v>
      </c>
      <c r="Z26" s="147">
        <f>Model!AE214</f>
        <v>0</v>
      </c>
      <c r="AA26" s="147">
        <f>Model!AF214</f>
        <v>0</v>
      </c>
      <c r="AB26" s="147">
        <f>Model!AG214</f>
        <v>0</v>
      </c>
      <c r="AC26" s="147">
        <f>Model!AH214</f>
        <v>0</v>
      </c>
      <c r="AD26" s="147">
        <f>Model!AI214</f>
        <v>0</v>
      </c>
      <c r="AE26" s="147">
        <f>Model!AJ214</f>
        <v>0</v>
      </c>
      <c r="AF26" s="147">
        <f>Model!AK214</f>
        <v>0</v>
      </c>
      <c r="AG26" s="147">
        <f>Model!AL214</f>
        <v>0</v>
      </c>
      <c r="AH26" s="147">
        <f>Model!AM214</f>
        <v>0</v>
      </c>
      <c r="AI26" s="147">
        <f>Model!AN214</f>
        <v>0</v>
      </c>
      <c r="AJ26" s="147">
        <f>Model!AO214</f>
        <v>0</v>
      </c>
      <c r="AK26" s="147">
        <f>Model!AP214</f>
        <v>0</v>
      </c>
      <c r="AL26" s="147">
        <f>Model!AQ214</f>
        <v>0</v>
      </c>
      <c r="AM26" s="147">
        <f>Model!AR214</f>
        <v>0</v>
      </c>
      <c r="AN26" s="147">
        <f>Model!AS214</f>
        <v>0</v>
      </c>
      <c r="AO26" s="147">
        <f>Model!AT214</f>
        <v>0</v>
      </c>
      <c r="AP26" s="147">
        <f>Model!AU214</f>
        <v>0</v>
      </c>
    </row>
    <row r="27" spans="1:48" x14ac:dyDescent="0.35">
      <c r="D27" s="11" t="str">
        <f>Model!D215</f>
        <v>Scheduled repayment</v>
      </c>
      <c r="E27" s="12" t="s">
        <v>114</v>
      </c>
      <c r="F27" s="147">
        <f>Model!K215</f>
        <v>0</v>
      </c>
      <c r="G27" s="147">
        <f>Model!L215</f>
        <v>-2238585.0080566742</v>
      </c>
      <c r="H27" s="147">
        <f>Model!M215</f>
        <v>-2659503.6538130175</v>
      </c>
      <c r="I27" s="147">
        <f>Model!N215</f>
        <v>-3100534.8823625958</v>
      </c>
      <c r="J27" s="147">
        <f>Model!O215</f>
        <v>-3562892.5810371805</v>
      </c>
      <c r="K27" s="147">
        <f>Model!P215</f>
        <v>-4047865.7115715425</v>
      </c>
      <c r="L27" s="147">
        <f>Model!Q215</f>
        <v>0</v>
      </c>
      <c r="M27" s="147">
        <f>Model!R215</f>
        <v>0</v>
      </c>
      <c r="N27" s="147">
        <f>Model!S215</f>
        <v>0</v>
      </c>
      <c r="O27" s="147">
        <f>Model!T215</f>
        <v>0</v>
      </c>
      <c r="P27" s="147">
        <f>Model!U215</f>
        <v>0</v>
      </c>
      <c r="Q27" s="147">
        <f>Model!V215</f>
        <v>0</v>
      </c>
      <c r="R27" s="147">
        <f>Model!W215</f>
        <v>0</v>
      </c>
      <c r="S27" s="147">
        <f>Model!X215</f>
        <v>0</v>
      </c>
      <c r="T27" s="147">
        <f>Model!Y215</f>
        <v>0</v>
      </c>
      <c r="U27" s="147">
        <f>Model!Z215</f>
        <v>0</v>
      </c>
      <c r="V27" s="147">
        <f>Model!AA215</f>
        <v>0</v>
      </c>
      <c r="W27" s="147">
        <f>Model!AB215</f>
        <v>0</v>
      </c>
      <c r="X27" s="147">
        <f>Model!AC215</f>
        <v>0</v>
      </c>
      <c r="Y27" s="147">
        <f>Model!AD215</f>
        <v>0</v>
      </c>
      <c r="Z27" s="147">
        <f>Model!AE215</f>
        <v>0</v>
      </c>
      <c r="AA27" s="147">
        <f>Model!AF215</f>
        <v>0</v>
      </c>
      <c r="AB27" s="147">
        <f>Model!AG215</f>
        <v>0</v>
      </c>
      <c r="AC27" s="147">
        <f>Model!AH215</f>
        <v>0</v>
      </c>
      <c r="AD27" s="147">
        <f>Model!AI215</f>
        <v>0</v>
      </c>
      <c r="AE27" s="147">
        <f>Model!AJ215</f>
        <v>0</v>
      </c>
      <c r="AF27" s="147">
        <f>Model!AK215</f>
        <v>0</v>
      </c>
      <c r="AG27" s="147">
        <f>Model!AL215</f>
        <v>0</v>
      </c>
      <c r="AH27" s="147">
        <f>Model!AM215</f>
        <v>0</v>
      </c>
      <c r="AI27" s="147">
        <f>Model!AN215</f>
        <v>0</v>
      </c>
      <c r="AJ27" s="147">
        <f>Model!AO215</f>
        <v>0</v>
      </c>
      <c r="AK27" s="147">
        <f>Model!AP215</f>
        <v>0</v>
      </c>
      <c r="AL27" s="147">
        <f>Model!AQ215</f>
        <v>0</v>
      </c>
      <c r="AM27" s="147">
        <f>Model!AR215</f>
        <v>0</v>
      </c>
      <c r="AN27" s="147">
        <f>Model!AS215</f>
        <v>0</v>
      </c>
      <c r="AO27" s="147">
        <f>Model!AT215</f>
        <v>0</v>
      </c>
      <c r="AP27" s="147">
        <f>Model!AU215</f>
        <v>0</v>
      </c>
    </row>
    <row r="28" spans="1:48" x14ac:dyDescent="0.35">
      <c r="D28" s="11" t="str">
        <f>Model!D216</f>
        <v>Interest paid</v>
      </c>
      <c r="E28" s="12" t="s">
        <v>114</v>
      </c>
      <c r="F28" s="147">
        <f>Model!K216</f>
        <v>0</v>
      </c>
      <c r="G28" s="147">
        <f>Model!L216</f>
        <v>-8568629.8388254847</v>
      </c>
      <c r="H28" s="147">
        <f>Model!M216</f>
        <v>-8147711.1930691414</v>
      </c>
      <c r="I28" s="147">
        <f>Model!N216</f>
        <v>-7706679.9645195631</v>
      </c>
      <c r="J28" s="147">
        <f>Model!O216</f>
        <v>-7244322.2658449784</v>
      </c>
      <c r="K28" s="147">
        <f>Model!P216</f>
        <v>-6759349.1353106163</v>
      </c>
      <c r="L28" s="147">
        <f>Model!Q216</f>
        <v>0</v>
      </c>
      <c r="M28" s="147">
        <f>Model!R216</f>
        <v>0</v>
      </c>
      <c r="N28" s="147">
        <f>Model!S216</f>
        <v>0</v>
      </c>
      <c r="O28" s="147">
        <f>Model!T216</f>
        <v>0</v>
      </c>
      <c r="P28" s="147">
        <f>Model!U216</f>
        <v>0</v>
      </c>
      <c r="Q28" s="147">
        <f>Model!V216</f>
        <v>0</v>
      </c>
      <c r="R28" s="147">
        <f>Model!W216</f>
        <v>0</v>
      </c>
      <c r="S28" s="147">
        <f>Model!X216</f>
        <v>0</v>
      </c>
      <c r="T28" s="147">
        <f>Model!Y216</f>
        <v>0</v>
      </c>
      <c r="U28" s="147">
        <f>Model!Z216</f>
        <v>0</v>
      </c>
      <c r="V28" s="147">
        <f>Model!AA216</f>
        <v>0</v>
      </c>
      <c r="W28" s="147">
        <f>Model!AB216</f>
        <v>0</v>
      </c>
      <c r="X28" s="147">
        <f>Model!AC216</f>
        <v>0</v>
      </c>
      <c r="Y28" s="147">
        <f>Model!AD216</f>
        <v>0</v>
      </c>
      <c r="Z28" s="147">
        <f>Model!AE216</f>
        <v>0</v>
      </c>
      <c r="AA28" s="147">
        <f>Model!AF216</f>
        <v>0</v>
      </c>
      <c r="AB28" s="147">
        <f>Model!AG216</f>
        <v>0</v>
      </c>
      <c r="AC28" s="147">
        <f>Model!AH216</f>
        <v>0</v>
      </c>
      <c r="AD28" s="147">
        <f>Model!AI216</f>
        <v>0</v>
      </c>
      <c r="AE28" s="147">
        <f>Model!AJ216</f>
        <v>0</v>
      </c>
      <c r="AF28" s="147">
        <f>Model!AK216</f>
        <v>0</v>
      </c>
      <c r="AG28" s="147">
        <f>Model!AL216</f>
        <v>0</v>
      </c>
      <c r="AH28" s="147">
        <f>Model!AM216</f>
        <v>0</v>
      </c>
      <c r="AI28" s="147">
        <f>Model!AN216</f>
        <v>0</v>
      </c>
      <c r="AJ28" s="147">
        <f>Model!AO216</f>
        <v>0</v>
      </c>
      <c r="AK28" s="147">
        <f>Model!AP216</f>
        <v>0</v>
      </c>
      <c r="AL28" s="147">
        <f>Model!AQ216</f>
        <v>0</v>
      </c>
      <c r="AM28" s="147">
        <f>Model!AR216</f>
        <v>0</v>
      </c>
      <c r="AN28" s="147">
        <f>Model!AS216</f>
        <v>0</v>
      </c>
      <c r="AO28" s="147">
        <f>Model!AT216</f>
        <v>0</v>
      </c>
      <c r="AP28" s="147">
        <f>Model!AU216</f>
        <v>0</v>
      </c>
    </row>
    <row r="29" spans="1:48" x14ac:dyDescent="0.35">
      <c r="D29" s="13" t="str">
        <f>Model!D217</f>
        <v>Cash available for prepayment</v>
      </c>
      <c r="E29" s="181" t="s">
        <v>114</v>
      </c>
      <c r="F29" s="148">
        <f>Model!K217</f>
        <v>0</v>
      </c>
      <c r="G29" s="148">
        <f>Model!L217</f>
        <v>4237086.4651178401</v>
      </c>
      <c r="H29" s="148">
        <f>Model!M217</f>
        <v>4125592.1700266432</v>
      </c>
      <c r="I29" s="148">
        <f>Model!N217</f>
        <v>4012660.4818617785</v>
      </c>
      <c r="J29" s="148">
        <f>Model!O217</f>
        <v>3898232.5041068513</v>
      </c>
      <c r="K29" s="148">
        <f>Model!P217</f>
        <v>3782247.7410841417</v>
      </c>
      <c r="L29" s="148">
        <f>Model!Q217</f>
        <v>-81688014.342538416</v>
      </c>
      <c r="M29" s="148">
        <f>Model!R217</f>
        <v>-67335441.873717546</v>
      </c>
      <c r="N29" s="148">
        <f>Model!S217</f>
        <v>-53103904.140272163</v>
      </c>
      <c r="O29" s="148">
        <f>Model!T217</f>
        <v>-38995216.777541012</v>
      </c>
      <c r="P29" s="148">
        <f>Model!U217</f>
        <v>-25011264.579193152</v>
      </c>
      <c r="Q29" s="148">
        <f>Model!V217</f>
        <v>-13223336.255384209</v>
      </c>
      <c r="R29" s="148">
        <f>Model!W217</f>
        <v>-1321826.2982531581</v>
      </c>
      <c r="S29" s="148">
        <f>Model!X217</f>
        <v>10693406.196068944</v>
      </c>
      <c r="T29" s="148">
        <f>Model!Y217</f>
        <v>12129059.248288043</v>
      </c>
      <c r="U29" s="148">
        <f>Model!Z217</f>
        <v>12242952.015633088</v>
      </c>
      <c r="V29" s="148">
        <f>Model!AA217</f>
        <v>12356871.029825214</v>
      </c>
      <c r="W29" s="148">
        <f>Model!AB217</f>
        <v>12470774.913057785</v>
      </c>
      <c r="X29" s="148">
        <f>Model!AC217</f>
        <v>12584620.626772726</v>
      </c>
      <c r="Y29" s="148">
        <f>Model!AD217</f>
        <v>12698363.420809768</v>
      </c>
      <c r="Z29" s="148">
        <f>Model!AE217</f>
        <v>12438622.130272083</v>
      </c>
      <c r="AA29" s="148">
        <f>Model!AF217</f>
        <v>9047746.6633289568</v>
      </c>
      <c r="AB29" s="148">
        <f>Model!AG217</f>
        <v>9126950.0010948665</v>
      </c>
      <c r="AC29" s="148">
        <f>Model!AH217</f>
        <v>9205943.2664055396</v>
      </c>
      <c r="AD29" s="148">
        <f>Model!AI217</f>
        <v>9284688.5741267037</v>
      </c>
      <c r="AE29" s="148">
        <f>Model!AJ217</f>
        <v>9363146.6057592072</v>
      </c>
      <c r="AF29" s="148">
        <f>Model!AK217</f>
        <v>9441276.5663599893</v>
      </c>
      <c r="AG29" s="148">
        <f>Model!AL217</f>
        <v>9519036.1402780954</v>
      </c>
      <c r="AH29" s="148">
        <f>Model!AM217</f>
        <v>9596381.4456745647</v>
      </c>
      <c r="AI29" s="148">
        <f>Model!AN217</f>
        <v>9673266.9877940957</v>
      </c>
      <c r="AJ29" s="148">
        <f>Model!AO217</f>
        <v>9749645.6109556817</v>
      </c>
      <c r="AK29" s="148">
        <f>Model!AP217</f>
        <v>9825468.4492284656</v>
      </c>
      <c r="AL29" s="148">
        <f>Model!AQ217</f>
        <v>9900684.875758253</v>
      </c>
      <c r="AM29" s="148">
        <f>Model!AR217</f>
        <v>9975242.4507092405</v>
      </c>
      <c r="AN29" s="148">
        <f>Model!AS217</f>
        <v>10049086.867784552</v>
      </c>
      <c r="AO29" s="148">
        <f>Model!AT217</f>
        <v>10122161.899288278</v>
      </c>
      <c r="AP29" s="148">
        <f>Model!AU217</f>
        <v>0</v>
      </c>
    </row>
    <row r="30" spans="1:48" x14ac:dyDescent="0.35"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</row>
    <row r="31" spans="1:48" x14ac:dyDescent="0.35">
      <c r="D31" s="11" t="str">
        <f>Model!D219</f>
        <v>Cash sweep prepayment</v>
      </c>
      <c r="E31" s="12" t="s">
        <v>114</v>
      </c>
      <c r="F31" s="147">
        <f>Model!K219</f>
        <v>0</v>
      </c>
      <c r="G31" s="147">
        <f>Model!L219</f>
        <v>-4237086.4651178401</v>
      </c>
      <c r="H31" s="147">
        <f>Model!M219</f>
        <v>-4125592.1700266432</v>
      </c>
      <c r="I31" s="147">
        <f>Model!N219</f>
        <v>-4012660.4818617785</v>
      </c>
      <c r="J31" s="147">
        <f>Model!O219</f>
        <v>-3898232.5041068513</v>
      </c>
      <c r="K31" s="147">
        <f>Model!P219</f>
        <v>-3782247.7410841417</v>
      </c>
      <c r="L31" s="147">
        <f>Model!Q219</f>
        <v>0</v>
      </c>
      <c r="M31" s="147">
        <f>Model!R219</f>
        <v>0</v>
      </c>
      <c r="N31" s="147">
        <f>Model!S219</f>
        <v>0</v>
      </c>
      <c r="O31" s="147">
        <f>Model!T219</f>
        <v>0</v>
      </c>
      <c r="P31" s="147">
        <f>Model!U219</f>
        <v>0</v>
      </c>
      <c r="Q31" s="147">
        <f>Model!V219</f>
        <v>0</v>
      </c>
      <c r="R31" s="147">
        <f>Model!W219</f>
        <v>0</v>
      </c>
      <c r="S31" s="147">
        <f>Model!X219</f>
        <v>0</v>
      </c>
      <c r="T31" s="147">
        <f>Model!Y219</f>
        <v>0</v>
      </c>
      <c r="U31" s="147">
        <f>Model!Z219</f>
        <v>0</v>
      </c>
      <c r="V31" s="147">
        <f>Model!AA219</f>
        <v>0</v>
      </c>
      <c r="W31" s="147">
        <f>Model!AB219</f>
        <v>0</v>
      </c>
      <c r="X31" s="147">
        <f>Model!AC219</f>
        <v>0</v>
      </c>
      <c r="Y31" s="147">
        <f>Model!AD219</f>
        <v>0</v>
      </c>
      <c r="Z31" s="147">
        <f>Model!AE219</f>
        <v>0</v>
      </c>
      <c r="AA31" s="147">
        <f>Model!AF219</f>
        <v>0</v>
      </c>
      <c r="AB31" s="147">
        <f>Model!AG219</f>
        <v>0</v>
      </c>
      <c r="AC31" s="147">
        <f>Model!AH219</f>
        <v>0</v>
      </c>
      <c r="AD31" s="147">
        <f>Model!AI219</f>
        <v>0</v>
      </c>
      <c r="AE31" s="147">
        <f>Model!AJ219</f>
        <v>0</v>
      </c>
      <c r="AF31" s="147">
        <f>Model!AK219</f>
        <v>0</v>
      </c>
      <c r="AG31" s="147">
        <f>Model!AL219</f>
        <v>0</v>
      </c>
      <c r="AH31" s="147">
        <f>Model!AM219</f>
        <v>0</v>
      </c>
      <c r="AI31" s="147">
        <f>Model!AN219</f>
        <v>0</v>
      </c>
      <c r="AJ31" s="147">
        <f>Model!AO219</f>
        <v>0</v>
      </c>
      <c r="AK31" s="147">
        <f>Model!AP219</f>
        <v>0</v>
      </c>
      <c r="AL31" s="147">
        <f>Model!AQ219</f>
        <v>0</v>
      </c>
      <c r="AM31" s="147">
        <f>Model!AR219</f>
        <v>0</v>
      </c>
      <c r="AN31" s="147">
        <f>Model!AS219</f>
        <v>0</v>
      </c>
      <c r="AO31" s="147">
        <f>Model!AT219</f>
        <v>0</v>
      </c>
      <c r="AP31" s="147">
        <f>Model!AU219</f>
        <v>0</v>
      </c>
    </row>
    <row r="32" spans="1:48" x14ac:dyDescent="0.35">
      <c r="D32" s="11" t="str">
        <f>Model!D220</f>
        <v>Bullet repayment</v>
      </c>
      <c r="E32" s="12" t="s">
        <v>114</v>
      </c>
      <c r="F32" s="147">
        <f>Model!K220</f>
        <v>0</v>
      </c>
      <c r="G32" s="147">
        <f>Model!L220</f>
        <v>0</v>
      </c>
      <c r="H32" s="147">
        <f>Model!M220</f>
        <v>0</v>
      </c>
      <c r="I32" s="147">
        <f>Model!N220</f>
        <v>0</v>
      </c>
      <c r="J32" s="147">
        <f>Model!O220</f>
        <v>0</v>
      </c>
      <c r="K32" s="147">
        <f>Model!P220</f>
        <v>-96159873.244430721</v>
      </c>
      <c r="L32" s="147">
        <f>Model!Q220</f>
        <v>0</v>
      </c>
      <c r="M32" s="147">
        <f>Model!R220</f>
        <v>0</v>
      </c>
      <c r="N32" s="147">
        <f>Model!S220</f>
        <v>0</v>
      </c>
      <c r="O32" s="147">
        <f>Model!T220</f>
        <v>0</v>
      </c>
      <c r="P32" s="147">
        <f>Model!U220</f>
        <v>0</v>
      </c>
      <c r="Q32" s="147">
        <f>Model!V220</f>
        <v>0</v>
      </c>
      <c r="R32" s="147">
        <f>Model!W220</f>
        <v>0</v>
      </c>
      <c r="S32" s="147">
        <f>Model!X220</f>
        <v>0</v>
      </c>
      <c r="T32" s="147">
        <f>Model!Y220</f>
        <v>0</v>
      </c>
      <c r="U32" s="147">
        <f>Model!Z220</f>
        <v>0</v>
      </c>
      <c r="V32" s="147">
        <f>Model!AA220</f>
        <v>0</v>
      </c>
      <c r="W32" s="147">
        <f>Model!AB220</f>
        <v>0</v>
      </c>
      <c r="X32" s="147">
        <f>Model!AC220</f>
        <v>0</v>
      </c>
      <c r="Y32" s="147">
        <f>Model!AD220</f>
        <v>0</v>
      </c>
      <c r="Z32" s="147">
        <f>Model!AE220</f>
        <v>0</v>
      </c>
      <c r="AA32" s="147">
        <f>Model!AF220</f>
        <v>0</v>
      </c>
      <c r="AB32" s="147">
        <f>Model!AG220</f>
        <v>0</v>
      </c>
      <c r="AC32" s="147">
        <f>Model!AH220</f>
        <v>0</v>
      </c>
      <c r="AD32" s="147">
        <f>Model!AI220</f>
        <v>0</v>
      </c>
      <c r="AE32" s="147">
        <f>Model!AJ220</f>
        <v>0</v>
      </c>
      <c r="AF32" s="147">
        <f>Model!AK220</f>
        <v>0</v>
      </c>
      <c r="AG32" s="147">
        <f>Model!AL220</f>
        <v>0</v>
      </c>
      <c r="AH32" s="147">
        <f>Model!AM220</f>
        <v>0</v>
      </c>
      <c r="AI32" s="147">
        <f>Model!AN220</f>
        <v>0</v>
      </c>
      <c r="AJ32" s="147">
        <f>Model!AO220</f>
        <v>0</v>
      </c>
      <c r="AK32" s="147">
        <f>Model!AP220</f>
        <v>0</v>
      </c>
      <c r="AL32" s="147">
        <f>Model!AQ220</f>
        <v>0</v>
      </c>
      <c r="AM32" s="147">
        <f>Model!AR220</f>
        <v>0</v>
      </c>
      <c r="AN32" s="147">
        <f>Model!AS220</f>
        <v>0</v>
      </c>
      <c r="AO32" s="147">
        <f>Model!AT220</f>
        <v>0</v>
      </c>
      <c r="AP32" s="147">
        <f>Model!AU220</f>
        <v>0</v>
      </c>
    </row>
    <row r="33" spans="1:48" x14ac:dyDescent="0.35">
      <c r="D33" s="13" t="str">
        <f>Model!D221</f>
        <v>Cash available for distribution</v>
      </c>
      <c r="E33" s="181" t="s">
        <v>114</v>
      </c>
      <c r="F33" s="148">
        <f>Model!K221</f>
        <v>0</v>
      </c>
      <c r="G33" s="148">
        <f>Model!L221</f>
        <v>0</v>
      </c>
      <c r="H33" s="148">
        <f>Model!M221</f>
        <v>0</v>
      </c>
      <c r="I33" s="148">
        <f>Model!N221</f>
        <v>0</v>
      </c>
      <c r="J33" s="148">
        <f>Model!O221</f>
        <v>0</v>
      </c>
      <c r="K33" s="148">
        <f>Model!P221</f>
        <v>-96159873.244430721</v>
      </c>
      <c r="L33" s="148">
        <f>Model!Q221</f>
        <v>-81688014.342538416</v>
      </c>
      <c r="M33" s="148">
        <f>Model!R221</f>
        <v>-67335441.873717546</v>
      </c>
      <c r="N33" s="148">
        <f>Model!S221</f>
        <v>-53103904.140272163</v>
      </c>
      <c r="O33" s="148">
        <f>Model!T221</f>
        <v>-38995216.777541012</v>
      </c>
      <c r="P33" s="148">
        <f>Model!U221</f>
        <v>-25011264.579193152</v>
      </c>
      <c r="Q33" s="148">
        <f>Model!V221</f>
        <v>-13223336.255384209</v>
      </c>
      <c r="R33" s="148">
        <f>Model!W221</f>
        <v>-1321826.2982531581</v>
      </c>
      <c r="S33" s="148">
        <f>Model!X221</f>
        <v>10693406.196068944</v>
      </c>
      <c r="T33" s="148">
        <f>Model!Y221</f>
        <v>12129059.248288043</v>
      </c>
      <c r="U33" s="148">
        <f>Model!Z221</f>
        <v>12242952.015633088</v>
      </c>
      <c r="V33" s="148">
        <f>Model!AA221</f>
        <v>12356871.029825214</v>
      </c>
      <c r="W33" s="148">
        <f>Model!AB221</f>
        <v>12470774.913057785</v>
      </c>
      <c r="X33" s="148">
        <f>Model!AC221</f>
        <v>12584620.626772726</v>
      </c>
      <c r="Y33" s="148">
        <f>Model!AD221</f>
        <v>12698363.420809768</v>
      </c>
      <c r="Z33" s="148">
        <f>Model!AE221</f>
        <v>12438622.130272083</v>
      </c>
      <c r="AA33" s="148">
        <f>Model!AF221</f>
        <v>9047746.6633289568</v>
      </c>
      <c r="AB33" s="148">
        <f>Model!AG221</f>
        <v>9126950.0010948665</v>
      </c>
      <c r="AC33" s="148">
        <f>Model!AH221</f>
        <v>9205943.2664055396</v>
      </c>
      <c r="AD33" s="148">
        <f>Model!AI221</f>
        <v>9284688.5741267037</v>
      </c>
      <c r="AE33" s="148">
        <f>Model!AJ221</f>
        <v>9363146.6057592072</v>
      </c>
      <c r="AF33" s="148">
        <f>Model!AK221</f>
        <v>9441276.5663599893</v>
      </c>
      <c r="AG33" s="148">
        <f>Model!AL221</f>
        <v>9519036.1402780954</v>
      </c>
      <c r="AH33" s="148">
        <f>Model!AM221</f>
        <v>9596381.4456745647</v>
      </c>
      <c r="AI33" s="148">
        <f>Model!AN221</f>
        <v>9673266.9877940957</v>
      </c>
      <c r="AJ33" s="148">
        <f>Model!AO221</f>
        <v>9749645.6109556817</v>
      </c>
      <c r="AK33" s="148">
        <f>Model!AP221</f>
        <v>9825468.4492284656</v>
      </c>
      <c r="AL33" s="148">
        <f>Model!AQ221</f>
        <v>9900684.875758253</v>
      </c>
      <c r="AM33" s="148">
        <f>Model!AR221</f>
        <v>9975242.4507092405</v>
      </c>
      <c r="AN33" s="148">
        <f>Model!AS221</f>
        <v>10049086.867784552</v>
      </c>
      <c r="AO33" s="148">
        <f>Model!AT221</f>
        <v>10122161.899288278</v>
      </c>
      <c r="AP33" s="148">
        <f>Model!AU221</f>
        <v>0</v>
      </c>
    </row>
    <row r="34" spans="1:48" x14ac:dyDescent="0.35"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</row>
    <row r="35" spans="1:48" x14ac:dyDescent="0.35">
      <c r="D35" s="11" t="str">
        <f>Model!D223</f>
        <v>Dividends</v>
      </c>
      <c r="E35" s="12" t="s">
        <v>114</v>
      </c>
      <c r="F35" s="147">
        <f>Model!K223</f>
        <v>0</v>
      </c>
      <c r="G35" s="147">
        <f>Model!L223</f>
        <v>0</v>
      </c>
      <c r="H35" s="147">
        <f>Model!M223</f>
        <v>0</v>
      </c>
      <c r="I35" s="147">
        <f>Model!N223</f>
        <v>0</v>
      </c>
      <c r="J35" s="147">
        <f>Model!O223</f>
        <v>0</v>
      </c>
      <c r="K35" s="147">
        <f>Model!P223</f>
        <v>0</v>
      </c>
      <c r="L35" s="147">
        <f>Model!Q223</f>
        <v>0</v>
      </c>
      <c r="M35" s="147">
        <f>Model!R223</f>
        <v>0</v>
      </c>
      <c r="N35" s="147">
        <f>Model!S223</f>
        <v>0</v>
      </c>
      <c r="O35" s="147">
        <f>Model!T223</f>
        <v>0</v>
      </c>
      <c r="P35" s="147">
        <f>Model!U223</f>
        <v>0</v>
      </c>
      <c r="Q35" s="147">
        <f>Model!V223</f>
        <v>0</v>
      </c>
      <c r="R35" s="147">
        <f>Model!W223</f>
        <v>0</v>
      </c>
      <c r="S35" s="147">
        <f>Model!X223</f>
        <v>-10693406.196068944</v>
      </c>
      <c r="T35" s="147">
        <f>Model!Y223</f>
        <v>-12129059.248288043</v>
      </c>
      <c r="U35" s="147">
        <f>Model!Z223</f>
        <v>-12242952.015633088</v>
      </c>
      <c r="V35" s="147">
        <f>Model!AA223</f>
        <v>-12356871.029825214</v>
      </c>
      <c r="W35" s="147">
        <f>Model!AB223</f>
        <v>-12470774.913057785</v>
      </c>
      <c r="X35" s="147">
        <f>Model!AC223</f>
        <v>-12584620.626772726</v>
      </c>
      <c r="Y35" s="147">
        <f>Model!AD223</f>
        <v>-12698363.420809768</v>
      </c>
      <c r="Z35" s="147">
        <f>Model!AE223</f>
        <v>-12438622.130272083</v>
      </c>
      <c r="AA35" s="147">
        <f>Model!AF223</f>
        <v>-9047746.6633289568</v>
      </c>
      <c r="AB35" s="147">
        <f>Model!AG223</f>
        <v>-9126950.0010948665</v>
      </c>
      <c r="AC35" s="147">
        <f>Model!AH223</f>
        <v>-9205943.2664055396</v>
      </c>
      <c r="AD35" s="147">
        <f>Model!AI223</f>
        <v>-9284688.5741267037</v>
      </c>
      <c r="AE35" s="147">
        <f>Model!AJ223</f>
        <v>-9363146.6057592072</v>
      </c>
      <c r="AF35" s="147">
        <f>Model!AK223</f>
        <v>-9441276.5663599893</v>
      </c>
      <c r="AG35" s="147">
        <f>Model!AL223</f>
        <v>-9519036.1402780954</v>
      </c>
      <c r="AH35" s="147">
        <f>Model!AM223</f>
        <v>-9596381.4456745647</v>
      </c>
      <c r="AI35" s="147">
        <f>Model!AN223</f>
        <v>-9673266.9877940957</v>
      </c>
      <c r="AJ35" s="147">
        <f>Model!AO223</f>
        <v>-9749645.6109556817</v>
      </c>
      <c r="AK35" s="147">
        <f>Model!AP223</f>
        <v>-9825468.4492284656</v>
      </c>
      <c r="AL35" s="147">
        <f>Model!AQ223</f>
        <v>-9900684.875758253</v>
      </c>
      <c r="AM35" s="147">
        <f>Model!AR223</f>
        <v>-9975242.4507092405</v>
      </c>
      <c r="AN35" s="147">
        <f>Model!AS223</f>
        <v>-10049086.867784552</v>
      </c>
      <c r="AO35" s="147">
        <f>Model!AT223</f>
        <v>-10122161.899288278</v>
      </c>
      <c r="AP35" s="147">
        <f>Model!AU223</f>
        <v>0</v>
      </c>
    </row>
    <row r="36" spans="1:48" ht="15" thickBot="1" x14ac:dyDescent="0.4">
      <c r="D36" s="151" t="str">
        <f>Model!D227</f>
        <v>Net cash flow</v>
      </c>
      <c r="E36" s="183" t="s">
        <v>114</v>
      </c>
      <c r="F36" s="152">
        <f>Model!K227</f>
        <v>0</v>
      </c>
      <c r="G36" s="152">
        <f>Model!L227</f>
        <v>0</v>
      </c>
      <c r="H36" s="152">
        <f>Model!M227</f>
        <v>0</v>
      </c>
      <c r="I36" s="152">
        <f>Model!N227</f>
        <v>0</v>
      </c>
      <c r="J36" s="152">
        <f>Model!O227</f>
        <v>0</v>
      </c>
      <c r="K36" s="152">
        <f>Model!P227</f>
        <v>-96159873.244430721</v>
      </c>
      <c r="L36" s="152">
        <f>Model!Q227</f>
        <v>14471858.901892304</v>
      </c>
      <c r="M36" s="152">
        <f>Model!R227</f>
        <v>14352572.46882087</v>
      </c>
      <c r="N36" s="152">
        <f>Model!S227</f>
        <v>14231537.733445384</v>
      </c>
      <c r="O36" s="152">
        <f>Model!T227</f>
        <v>14108687.362731151</v>
      </c>
      <c r="P36" s="152">
        <f>Model!U227</f>
        <v>13983952.198347859</v>
      </c>
      <c r="Q36" s="152">
        <f>Model!V227</f>
        <v>11787928.323808944</v>
      </c>
      <c r="R36" s="152">
        <f>Model!W227</f>
        <v>11901509.957131051</v>
      </c>
      <c r="S36" s="152">
        <f>Model!X227</f>
        <v>1321826.2982531581</v>
      </c>
      <c r="T36" s="152">
        <f>Model!Y227</f>
        <v>0</v>
      </c>
      <c r="U36" s="152">
        <f>Model!Z227</f>
        <v>0</v>
      </c>
      <c r="V36" s="152">
        <f>Model!AA227</f>
        <v>0</v>
      </c>
      <c r="W36" s="152">
        <f>Model!AB227</f>
        <v>0</v>
      </c>
      <c r="X36" s="152">
        <f>Model!AC227</f>
        <v>0</v>
      </c>
      <c r="Y36" s="152">
        <f>Model!AD227</f>
        <v>0</v>
      </c>
      <c r="Z36" s="152">
        <f>Model!AE227</f>
        <v>0</v>
      </c>
      <c r="AA36" s="152">
        <f>Model!AF227</f>
        <v>0</v>
      </c>
      <c r="AB36" s="152">
        <f>Model!AG227</f>
        <v>0</v>
      </c>
      <c r="AC36" s="152">
        <f>Model!AH227</f>
        <v>0</v>
      </c>
      <c r="AD36" s="152">
        <f>Model!AI227</f>
        <v>0</v>
      </c>
      <c r="AE36" s="152">
        <f>Model!AJ227</f>
        <v>0</v>
      </c>
      <c r="AF36" s="152">
        <f>Model!AK227</f>
        <v>0</v>
      </c>
      <c r="AG36" s="152">
        <f>Model!AL227</f>
        <v>0</v>
      </c>
      <c r="AH36" s="152">
        <f>Model!AM227</f>
        <v>0</v>
      </c>
      <c r="AI36" s="152">
        <f>Model!AN227</f>
        <v>0</v>
      </c>
      <c r="AJ36" s="152">
        <f>Model!AO227</f>
        <v>0</v>
      </c>
      <c r="AK36" s="152">
        <f>Model!AP227</f>
        <v>0</v>
      </c>
      <c r="AL36" s="152">
        <f>Model!AQ227</f>
        <v>0</v>
      </c>
      <c r="AM36" s="152">
        <f>Model!AR227</f>
        <v>0</v>
      </c>
      <c r="AN36" s="152">
        <f>Model!AS227</f>
        <v>0</v>
      </c>
      <c r="AO36" s="152">
        <f>Model!AT227</f>
        <v>0</v>
      </c>
      <c r="AP36" s="152">
        <f>Model!AU227</f>
        <v>0</v>
      </c>
    </row>
    <row r="37" spans="1:48" ht="15" thickTop="1" x14ac:dyDescent="0.35"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</row>
    <row r="38" spans="1:48" x14ac:dyDescent="0.35">
      <c r="A38" s="32" t="s">
        <v>164</v>
      </c>
      <c r="B38" s="32"/>
      <c r="C38" s="88"/>
      <c r="D38" s="32"/>
      <c r="E38" s="36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32"/>
      <c r="AR38" s="32"/>
      <c r="AS38" s="32"/>
      <c r="AT38" s="32"/>
      <c r="AU38" s="32"/>
      <c r="AV38" s="32"/>
    </row>
    <row r="39" spans="1:48" x14ac:dyDescent="0.35">
      <c r="C39" s="153" t="s">
        <v>96</v>
      </c>
      <c r="E39" s="12" t="s">
        <v>114</v>
      </c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</row>
    <row r="40" spans="1:48" x14ac:dyDescent="0.35">
      <c r="C40" s="153"/>
      <c r="D40" s="11" t="str">
        <f>Model!D267</f>
        <v>Cash</v>
      </c>
      <c r="E40" s="12" t="s">
        <v>114</v>
      </c>
      <c r="F40" s="147">
        <f>Model!K267</f>
        <v>0</v>
      </c>
      <c r="G40" s="147">
        <f>Model!L267</f>
        <v>0</v>
      </c>
      <c r="H40" s="147">
        <f>Model!M267</f>
        <v>0</v>
      </c>
      <c r="I40" s="147">
        <f>Model!N267</f>
        <v>0</v>
      </c>
      <c r="J40" s="147">
        <f>Model!O267</f>
        <v>0</v>
      </c>
      <c r="K40" s="147">
        <f>Model!P267</f>
        <v>-96159873.244430721</v>
      </c>
      <c r="L40" s="147">
        <f>Model!Q267</f>
        <v>-81688014.342538416</v>
      </c>
      <c r="M40" s="147">
        <f>Model!R267</f>
        <v>-67335441.873717546</v>
      </c>
      <c r="N40" s="147">
        <f>Model!S267</f>
        <v>-53103904.140272163</v>
      </c>
      <c r="O40" s="147">
        <f>Model!T267</f>
        <v>-38995216.777541012</v>
      </c>
      <c r="P40" s="147">
        <f>Model!U267</f>
        <v>-25011264.579193152</v>
      </c>
      <c r="Q40" s="147">
        <f>Model!V267</f>
        <v>-13223336.255384209</v>
      </c>
      <c r="R40" s="147">
        <f>Model!W267</f>
        <v>-1321826.2982531581</v>
      </c>
      <c r="S40" s="147">
        <f>Model!X267</f>
        <v>0</v>
      </c>
      <c r="T40" s="147">
        <f>Model!Y267</f>
        <v>0</v>
      </c>
      <c r="U40" s="147">
        <f>Model!Z267</f>
        <v>0</v>
      </c>
      <c r="V40" s="147">
        <f>Model!AA267</f>
        <v>0</v>
      </c>
      <c r="W40" s="147">
        <f>Model!AB267</f>
        <v>0</v>
      </c>
      <c r="X40" s="147">
        <f>Model!AC267</f>
        <v>0</v>
      </c>
      <c r="Y40" s="147">
        <f>Model!AD267</f>
        <v>0</v>
      </c>
      <c r="Z40" s="147">
        <f>Model!AE267</f>
        <v>0</v>
      </c>
      <c r="AA40" s="147">
        <f>Model!AF267</f>
        <v>0</v>
      </c>
      <c r="AB40" s="147">
        <f>Model!AG267</f>
        <v>0</v>
      </c>
      <c r="AC40" s="147">
        <f>Model!AH267</f>
        <v>0</v>
      </c>
      <c r="AD40" s="147">
        <f>Model!AI267</f>
        <v>0</v>
      </c>
      <c r="AE40" s="147">
        <f>Model!AJ267</f>
        <v>0</v>
      </c>
      <c r="AF40" s="147">
        <f>Model!AK267</f>
        <v>0</v>
      </c>
      <c r="AG40" s="147">
        <f>Model!AL267</f>
        <v>0</v>
      </c>
      <c r="AH40" s="147">
        <f>Model!AM267</f>
        <v>0</v>
      </c>
      <c r="AI40" s="147">
        <f>Model!AN267</f>
        <v>0</v>
      </c>
      <c r="AJ40" s="147">
        <f>Model!AO267</f>
        <v>0</v>
      </c>
      <c r="AK40" s="147">
        <f>Model!AP267</f>
        <v>0</v>
      </c>
      <c r="AL40" s="147">
        <f>Model!AQ267</f>
        <v>0</v>
      </c>
      <c r="AM40" s="147">
        <f>Model!AR267</f>
        <v>0</v>
      </c>
      <c r="AN40" s="147">
        <f>Model!AS267</f>
        <v>0</v>
      </c>
      <c r="AO40" s="147">
        <f>Model!AT267</f>
        <v>0</v>
      </c>
      <c r="AP40" s="147">
        <f>Model!AU267</f>
        <v>0</v>
      </c>
    </row>
    <row r="41" spans="1:48" x14ac:dyDescent="0.35">
      <c r="C41" s="153"/>
      <c r="D41" s="11" t="str">
        <f>Model!D268</f>
        <v>Account receivables</v>
      </c>
      <c r="E41" s="12" t="s">
        <v>114</v>
      </c>
      <c r="F41" s="147">
        <f>Model!K268</f>
        <v>0</v>
      </c>
      <c r="G41" s="147">
        <f>Model!L268</f>
        <v>0</v>
      </c>
      <c r="H41" s="147">
        <f>Model!M268</f>
        <v>0</v>
      </c>
      <c r="I41" s="147">
        <f>Model!N268</f>
        <v>0</v>
      </c>
      <c r="J41" s="147">
        <f>Model!O268</f>
        <v>0</v>
      </c>
      <c r="K41" s="147">
        <f>Model!P268</f>
        <v>0</v>
      </c>
      <c r="L41" s="147">
        <f>Model!Q268</f>
        <v>0</v>
      </c>
      <c r="M41" s="147">
        <f>Model!R268</f>
        <v>0</v>
      </c>
      <c r="N41" s="147">
        <f>Model!S268</f>
        <v>0</v>
      </c>
      <c r="O41" s="147">
        <f>Model!T268</f>
        <v>0</v>
      </c>
      <c r="P41" s="147">
        <f>Model!U268</f>
        <v>0</v>
      </c>
      <c r="Q41" s="147">
        <f>Model!V268</f>
        <v>0</v>
      </c>
      <c r="R41" s="147">
        <f>Model!W268</f>
        <v>0</v>
      </c>
      <c r="S41" s="147">
        <f>Model!X268</f>
        <v>0</v>
      </c>
      <c r="T41" s="147">
        <f>Model!Y268</f>
        <v>0</v>
      </c>
      <c r="U41" s="147">
        <f>Model!Z268</f>
        <v>0</v>
      </c>
      <c r="V41" s="147">
        <f>Model!AA268</f>
        <v>0</v>
      </c>
      <c r="W41" s="147">
        <f>Model!AB268</f>
        <v>0</v>
      </c>
      <c r="X41" s="147">
        <f>Model!AC268</f>
        <v>0</v>
      </c>
      <c r="Y41" s="147">
        <f>Model!AD268</f>
        <v>0</v>
      </c>
      <c r="Z41" s="147">
        <f>Model!AE268</f>
        <v>0</v>
      </c>
      <c r="AA41" s="147">
        <f>Model!AF268</f>
        <v>0</v>
      </c>
      <c r="AB41" s="147">
        <f>Model!AG268</f>
        <v>0</v>
      </c>
      <c r="AC41" s="147">
        <f>Model!AH268</f>
        <v>0</v>
      </c>
      <c r="AD41" s="147">
        <f>Model!AI268</f>
        <v>0</v>
      </c>
      <c r="AE41" s="147">
        <f>Model!AJ268</f>
        <v>0</v>
      </c>
      <c r="AF41" s="147">
        <f>Model!AK268</f>
        <v>0</v>
      </c>
      <c r="AG41" s="147">
        <f>Model!AL268</f>
        <v>0</v>
      </c>
      <c r="AH41" s="147">
        <f>Model!AM268</f>
        <v>0</v>
      </c>
      <c r="AI41" s="147">
        <f>Model!AN268</f>
        <v>0</v>
      </c>
      <c r="AJ41" s="147">
        <f>Model!AO268</f>
        <v>0</v>
      </c>
      <c r="AK41" s="147">
        <f>Model!AP268</f>
        <v>0</v>
      </c>
      <c r="AL41" s="147">
        <f>Model!AQ268</f>
        <v>0</v>
      </c>
      <c r="AM41" s="147">
        <f>Model!AR268</f>
        <v>0</v>
      </c>
      <c r="AN41" s="147">
        <f>Model!AS268</f>
        <v>0</v>
      </c>
      <c r="AO41" s="147">
        <f>Model!AT268</f>
        <v>0</v>
      </c>
      <c r="AP41" s="147">
        <f>Model!AU268</f>
        <v>0</v>
      </c>
    </row>
    <row r="42" spans="1:48" x14ac:dyDescent="0.35">
      <c r="C42" s="153"/>
      <c r="D42" s="11" t="str">
        <f>Model!D269</f>
        <v>Net plant</v>
      </c>
      <c r="E42" s="12" t="s">
        <v>114</v>
      </c>
      <c r="F42" s="147">
        <f>Model!K269</f>
        <v>228568629.83882549</v>
      </c>
      <c r="G42" s="147">
        <f>Model!L269</f>
        <v>217140198.34688422</v>
      </c>
      <c r="H42" s="147">
        <f>Model!M269</f>
        <v>205711766.85494295</v>
      </c>
      <c r="I42" s="147">
        <f>Model!N269</f>
        <v>194283335.36300167</v>
      </c>
      <c r="J42" s="147">
        <f>Model!O269</f>
        <v>182854903.8710604</v>
      </c>
      <c r="K42" s="147">
        <f>Model!P269</f>
        <v>171426472.37911913</v>
      </c>
      <c r="L42" s="147">
        <f>Model!Q269</f>
        <v>159998040.88717782</v>
      </c>
      <c r="M42" s="147">
        <f>Model!R269</f>
        <v>148569609.39523655</v>
      </c>
      <c r="N42" s="147">
        <f>Model!S269</f>
        <v>137141177.90329528</v>
      </c>
      <c r="O42" s="147">
        <f>Model!T269</f>
        <v>125712746.41135402</v>
      </c>
      <c r="P42" s="147">
        <f>Model!U269</f>
        <v>114284314.91941275</v>
      </c>
      <c r="Q42" s="147">
        <f>Model!V269</f>
        <v>102855883.42747147</v>
      </c>
      <c r="R42" s="147">
        <f>Model!W269</f>
        <v>91427451.935530186</v>
      </c>
      <c r="S42" s="147">
        <f>Model!X269</f>
        <v>79999020.443588912</v>
      </c>
      <c r="T42" s="147">
        <f>Model!Y269</f>
        <v>68570588.951647639</v>
      </c>
      <c r="U42" s="147">
        <f>Model!Z269</f>
        <v>57142157.459706366</v>
      </c>
      <c r="V42" s="147">
        <f>Model!AA269</f>
        <v>45713725.967765093</v>
      </c>
      <c r="W42" s="147">
        <f>Model!AB269</f>
        <v>34285294.47582382</v>
      </c>
      <c r="X42" s="147">
        <f>Model!AC269</f>
        <v>22856862.983882546</v>
      </c>
      <c r="Y42" s="147">
        <f>Model!AD269</f>
        <v>11428431.491941273</v>
      </c>
      <c r="Z42" s="147">
        <f>Model!AE269</f>
        <v>0</v>
      </c>
      <c r="AA42" s="147">
        <f>Model!AF269</f>
        <v>0</v>
      </c>
      <c r="AB42" s="147">
        <f>Model!AG269</f>
        <v>0</v>
      </c>
      <c r="AC42" s="147">
        <f>Model!AH269</f>
        <v>0</v>
      </c>
      <c r="AD42" s="147">
        <f>Model!AI269</f>
        <v>0</v>
      </c>
      <c r="AE42" s="147">
        <f>Model!AJ269</f>
        <v>0</v>
      </c>
      <c r="AF42" s="147">
        <f>Model!AK269</f>
        <v>0</v>
      </c>
      <c r="AG42" s="147">
        <f>Model!AL269</f>
        <v>0</v>
      </c>
      <c r="AH42" s="147">
        <f>Model!AM269</f>
        <v>0</v>
      </c>
      <c r="AI42" s="147">
        <f>Model!AN269</f>
        <v>0</v>
      </c>
      <c r="AJ42" s="147">
        <f>Model!AO269</f>
        <v>0</v>
      </c>
      <c r="AK42" s="147">
        <f>Model!AP269</f>
        <v>0</v>
      </c>
      <c r="AL42" s="147">
        <f>Model!AQ269</f>
        <v>0</v>
      </c>
      <c r="AM42" s="147">
        <f>Model!AR269</f>
        <v>0</v>
      </c>
      <c r="AN42" s="147">
        <f>Model!AS269</f>
        <v>0</v>
      </c>
      <c r="AO42" s="147">
        <f>Model!AT269</f>
        <v>0</v>
      </c>
      <c r="AP42" s="147">
        <f>Model!AU269</f>
        <v>0</v>
      </c>
    </row>
    <row r="43" spans="1:48" ht="15" thickBot="1" x14ac:dyDescent="0.4">
      <c r="C43" s="153"/>
      <c r="D43" s="151" t="str">
        <f>Model!D270</f>
        <v>Total Asset</v>
      </c>
      <c r="E43" s="183" t="s">
        <v>114</v>
      </c>
      <c r="F43" s="152">
        <f>Model!K270</f>
        <v>228568629.83882549</v>
      </c>
      <c r="G43" s="152">
        <f>Model!L270</f>
        <v>217140198.34688422</v>
      </c>
      <c r="H43" s="152">
        <f>Model!M270</f>
        <v>205711766.85494295</v>
      </c>
      <c r="I43" s="152">
        <f>Model!N270</f>
        <v>194283335.36300167</v>
      </c>
      <c r="J43" s="152">
        <f>Model!O270</f>
        <v>182854903.8710604</v>
      </c>
      <c r="K43" s="152">
        <f>Model!P270</f>
        <v>75266599.134688407</v>
      </c>
      <c r="L43" s="152">
        <f>Model!Q270</f>
        <v>78310026.544639409</v>
      </c>
      <c r="M43" s="152">
        <f>Model!R270</f>
        <v>81234167.521519005</v>
      </c>
      <c r="N43" s="152">
        <f>Model!S270</f>
        <v>84037273.763023108</v>
      </c>
      <c r="O43" s="152">
        <f>Model!T270</f>
        <v>86717529.633813009</v>
      </c>
      <c r="P43" s="152">
        <f>Model!U270</f>
        <v>89273050.340219587</v>
      </c>
      <c r="Q43" s="152">
        <f>Model!V270</f>
        <v>89632547.172087267</v>
      </c>
      <c r="R43" s="152">
        <f>Model!W270</f>
        <v>90105625.637277022</v>
      </c>
      <c r="S43" s="152">
        <f>Model!X270</f>
        <v>79999020.443588912</v>
      </c>
      <c r="T43" s="152">
        <f>Model!Y270</f>
        <v>68570588.951647639</v>
      </c>
      <c r="U43" s="152">
        <f>Model!Z270</f>
        <v>57142157.459706366</v>
      </c>
      <c r="V43" s="152">
        <f>Model!AA270</f>
        <v>45713725.967765093</v>
      </c>
      <c r="W43" s="152">
        <f>Model!AB270</f>
        <v>34285294.47582382</v>
      </c>
      <c r="X43" s="152">
        <f>Model!AC270</f>
        <v>22856862.983882546</v>
      </c>
      <c r="Y43" s="152">
        <f>Model!AD270</f>
        <v>11428431.491941273</v>
      </c>
      <c r="Z43" s="152">
        <f>Model!AE270</f>
        <v>0</v>
      </c>
      <c r="AA43" s="152">
        <f>Model!AF270</f>
        <v>0</v>
      </c>
      <c r="AB43" s="152">
        <f>Model!AG270</f>
        <v>0</v>
      </c>
      <c r="AC43" s="152">
        <f>Model!AH270</f>
        <v>0</v>
      </c>
      <c r="AD43" s="152">
        <f>Model!AI270</f>
        <v>0</v>
      </c>
      <c r="AE43" s="152">
        <f>Model!AJ270</f>
        <v>0</v>
      </c>
      <c r="AF43" s="152">
        <f>Model!AK270</f>
        <v>0</v>
      </c>
      <c r="AG43" s="152">
        <f>Model!AL270</f>
        <v>0</v>
      </c>
      <c r="AH43" s="152">
        <f>Model!AM270</f>
        <v>0</v>
      </c>
      <c r="AI43" s="152">
        <f>Model!AN270</f>
        <v>0</v>
      </c>
      <c r="AJ43" s="152">
        <f>Model!AO270</f>
        <v>0</v>
      </c>
      <c r="AK43" s="152">
        <f>Model!AP270</f>
        <v>0</v>
      </c>
      <c r="AL43" s="152">
        <f>Model!AQ270</f>
        <v>0</v>
      </c>
      <c r="AM43" s="152">
        <f>Model!AR270</f>
        <v>0</v>
      </c>
      <c r="AN43" s="152">
        <f>Model!AS270</f>
        <v>0</v>
      </c>
      <c r="AO43" s="152">
        <f>Model!AT270</f>
        <v>0</v>
      </c>
      <c r="AP43" s="152">
        <f>Model!AU270</f>
        <v>0</v>
      </c>
    </row>
    <row r="44" spans="1:48" ht="15" thickTop="1" x14ac:dyDescent="0.35">
      <c r="C44" s="153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</row>
    <row r="45" spans="1:48" x14ac:dyDescent="0.35">
      <c r="C45" s="153" t="s">
        <v>97</v>
      </c>
      <c r="E45" s="12" t="s">
        <v>114</v>
      </c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</row>
    <row r="46" spans="1:48" x14ac:dyDescent="0.35">
      <c r="C46" s="153"/>
      <c r="D46" s="11" t="str">
        <f>Model!D273</f>
        <v>Senior debt</v>
      </c>
      <c r="E46" s="12" t="s">
        <v>114</v>
      </c>
      <c r="F46" s="147">
        <f>Model!K273</f>
        <v>131825074.44346899</v>
      </c>
      <c r="G46" s="147">
        <f>Model!L273</f>
        <v>125349402.97029448</v>
      </c>
      <c r="H46" s="147">
        <f>Model!M273</f>
        <v>118564307.14645481</v>
      </c>
      <c r="I46" s="147">
        <f>Model!N273</f>
        <v>111451111.78223044</v>
      </c>
      <c r="J46" s="147">
        <f>Model!O273</f>
        <v>103989986.69708641</v>
      </c>
      <c r="K46" s="147">
        <f>Model!P273</f>
        <v>0</v>
      </c>
      <c r="L46" s="147">
        <f>Model!Q273</f>
        <v>0</v>
      </c>
      <c r="M46" s="147">
        <f>Model!R273</f>
        <v>0</v>
      </c>
      <c r="N46" s="147">
        <f>Model!S273</f>
        <v>0</v>
      </c>
      <c r="O46" s="147">
        <f>Model!T273</f>
        <v>0</v>
      </c>
      <c r="P46" s="147">
        <f>Model!U273</f>
        <v>0</v>
      </c>
      <c r="Q46" s="147">
        <f>Model!V273</f>
        <v>0</v>
      </c>
      <c r="R46" s="147">
        <f>Model!W273</f>
        <v>0</v>
      </c>
      <c r="S46" s="147">
        <f>Model!X273</f>
        <v>0</v>
      </c>
      <c r="T46" s="147">
        <f>Model!Y273</f>
        <v>0</v>
      </c>
      <c r="U46" s="147">
        <f>Model!Z273</f>
        <v>0</v>
      </c>
      <c r="V46" s="147">
        <f>Model!AA273</f>
        <v>0</v>
      </c>
      <c r="W46" s="147">
        <f>Model!AB273</f>
        <v>0</v>
      </c>
      <c r="X46" s="147">
        <f>Model!AC273</f>
        <v>0</v>
      </c>
      <c r="Y46" s="147">
        <f>Model!AD273</f>
        <v>0</v>
      </c>
      <c r="Z46" s="147">
        <f>Model!AE273</f>
        <v>0</v>
      </c>
      <c r="AA46" s="147">
        <f>Model!AF273</f>
        <v>0</v>
      </c>
      <c r="AB46" s="147">
        <f>Model!AG273</f>
        <v>0</v>
      </c>
      <c r="AC46" s="147">
        <f>Model!AH273</f>
        <v>0</v>
      </c>
      <c r="AD46" s="147">
        <f>Model!AI273</f>
        <v>0</v>
      </c>
      <c r="AE46" s="147">
        <f>Model!AJ273</f>
        <v>0</v>
      </c>
      <c r="AF46" s="147">
        <f>Model!AK273</f>
        <v>0</v>
      </c>
      <c r="AG46" s="147">
        <f>Model!AL273</f>
        <v>0</v>
      </c>
      <c r="AH46" s="147">
        <f>Model!AM273</f>
        <v>0</v>
      </c>
      <c r="AI46" s="147">
        <f>Model!AN273</f>
        <v>0</v>
      </c>
      <c r="AJ46" s="147">
        <f>Model!AO273</f>
        <v>0</v>
      </c>
      <c r="AK46" s="147">
        <f>Model!AP273</f>
        <v>0</v>
      </c>
      <c r="AL46" s="147">
        <f>Model!AQ273</f>
        <v>0</v>
      </c>
      <c r="AM46" s="147">
        <f>Model!AR273</f>
        <v>0</v>
      </c>
      <c r="AN46" s="147">
        <f>Model!AS273</f>
        <v>0</v>
      </c>
      <c r="AO46" s="147">
        <f>Model!AT273</f>
        <v>0</v>
      </c>
      <c r="AP46" s="147">
        <f>Model!AU273</f>
        <v>0</v>
      </c>
    </row>
    <row r="47" spans="1:48" ht="15" thickBot="1" x14ac:dyDescent="0.4">
      <c r="C47" s="153"/>
      <c r="D47" s="151" t="str">
        <f>Model!D274</f>
        <v>Total Liability</v>
      </c>
      <c r="E47" s="183" t="s">
        <v>114</v>
      </c>
      <c r="F47" s="152">
        <f>Model!K274</f>
        <v>131825074.44346899</v>
      </c>
      <c r="G47" s="152">
        <f>Model!L274</f>
        <v>125349402.97029448</v>
      </c>
      <c r="H47" s="152">
        <f>Model!M274</f>
        <v>118564307.14645481</v>
      </c>
      <c r="I47" s="152">
        <f>Model!N274</f>
        <v>111451111.78223044</v>
      </c>
      <c r="J47" s="152">
        <f>Model!O274</f>
        <v>103989986.69708641</v>
      </c>
      <c r="K47" s="152">
        <f>Model!P274</f>
        <v>0</v>
      </c>
      <c r="L47" s="152">
        <f>Model!Q274</f>
        <v>0</v>
      </c>
      <c r="M47" s="152">
        <f>Model!R274</f>
        <v>0</v>
      </c>
      <c r="N47" s="152">
        <f>Model!S274</f>
        <v>0</v>
      </c>
      <c r="O47" s="152">
        <f>Model!T274</f>
        <v>0</v>
      </c>
      <c r="P47" s="152">
        <f>Model!U274</f>
        <v>0</v>
      </c>
      <c r="Q47" s="152">
        <f>Model!V274</f>
        <v>0</v>
      </c>
      <c r="R47" s="152">
        <f>Model!W274</f>
        <v>0</v>
      </c>
      <c r="S47" s="152">
        <f>Model!X274</f>
        <v>0</v>
      </c>
      <c r="T47" s="152">
        <f>Model!Y274</f>
        <v>0</v>
      </c>
      <c r="U47" s="152">
        <f>Model!Z274</f>
        <v>0</v>
      </c>
      <c r="V47" s="152">
        <f>Model!AA274</f>
        <v>0</v>
      </c>
      <c r="W47" s="152">
        <f>Model!AB274</f>
        <v>0</v>
      </c>
      <c r="X47" s="152">
        <f>Model!AC274</f>
        <v>0</v>
      </c>
      <c r="Y47" s="152">
        <f>Model!AD274</f>
        <v>0</v>
      </c>
      <c r="Z47" s="152">
        <f>Model!AE274</f>
        <v>0</v>
      </c>
      <c r="AA47" s="152">
        <f>Model!AF274</f>
        <v>0</v>
      </c>
      <c r="AB47" s="152">
        <f>Model!AG274</f>
        <v>0</v>
      </c>
      <c r="AC47" s="152">
        <f>Model!AH274</f>
        <v>0</v>
      </c>
      <c r="AD47" s="152">
        <f>Model!AI274</f>
        <v>0</v>
      </c>
      <c r="AE47" s="152">
        <f>Model!AJ274</f>
        <v>0</v>
      </c>
      <c r="AF47" s="152">
        <f>Model!AK274</f>
        <v>0</v>
      </c>
      <c r="AG47" s="152">
        <f>Model!AL274</f>
        <v>0</v>
      </c>
      <c r="AH47" s="152">
        <f>Model!AM274</f>
        <v>0</v>
      </c>
      <c r="AI47" s="152">
        <f>Model!AN274</f>
        <v>0</v>
      </c>
      <c r="AJ47" s="152">
        <f>Model!AO274</f>
        <v>0</v>
      </c>
      <c r="AK47" s="152">
        <f>Model!AP274</f>
        <v>0</v>
      </c>
      <c r="AL47" s="152">
        <f>Model!AQ274</f>
        <v>0</v>
      </c>
      <c r="AM47" s="152">
        <f>Model!AR274</f>
        <v>0</v>
      </c>
      <c r="AN47" s="152">
        <f>Model!AS274</f>
        <v>0</v>
      </c>
      <c r="AO47" s="152">
        <f>Model!AT274</f>
        <v>0</v>
      </c>
      <c r="AP47" s="152">
        <f>Model!AU274</f>
        <v>0</v>
      </c>
    </row>
    <row r="48" spans="1:48" ht="15" thickTop="1" x14ac:dyDescent="0.35">
      <c r="C48" s="153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</row>
    <row r="49" spans="3:42" x14ac:dyDescent="0.35">
      <c r="C49" s="153" t="s">
        <v>98</v>
      </c>
      <c r="E49" s="12" t="s">
        <v>114</v>
      </c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</row>
    <row r="50" spans="3:42" x14ac:dyDescent="0.35">
      <c r="D50" s="11" t="str">
        <f>Model!D277</f>
        <v>Share capital</v>
      </c>
      <c r="E50" s="12" t="s">
        <v>114</v>
      </c>
      <c r="F50" s="147">
        <f>Model!K277</f>
        <v>96743555.395356506</v>
      </c>
      <c r="G50" s="147">
        <f>Model!L277</f>
        <v>96743555.395356506</v>
      </c>
      <c r="H50" s="147">
        <f>Model!M277</f>
        <v>96743555.395356506</v>
      </c>
      <c r="I50" s="147">
        <f>Model!N277</f>
        <v>96743555.395356506</v>
      </c>
      <c r="J50" s="147">
        <f>Model!O277</f>
        <v>96743555.395356506</v>
      </c>
      <c r="K50" s="147">
        <f>Model!P277</f>
        <v>96743555.395356506</v>
      </c>
      <c r="L50" s="147">
        <f>Model!Q277</f>
        <v>96743555.395356506</v>
      </c>
      <c r="M50" s="147">
        <f>Model!R277</f>
        <v>96743555.395356506</v>
      </c>
      <c r="N50" s="147">
        <f>Model!S277</f>
        <v>96743555.395356506</v>
      </c>
      <c r="O50" s="147">
        <f>Model!T277</f>
        <v>96743555.395356506</v>
      </c>
      <c r="P50" s="147">
        <f>Model!U277</f>
        <v>96743555.395356506</v>
      </c>
      <c r="Q50" s="147">
        <f>Model!V277</f>
        <v>96743555.395356506</v>
      </c>
      <c r="R50" s="147">
        <f>Model!W277</f>
        <v>96743555.395356506</v>
      </c>
      <c r="S50" s="147">
        <f>Model!X277</f>
        <v>96743555.395356506</v>
      </c>
      <c r="T50" s="147">
        <f>Model!Y277</f>
        <v>96743555.395356506</v>
      </c>
      <c r="U50" s="147">
        <f>Model!Z277</f>
        <v>96743555.395356506</v>
      </c>
      <c r="V50" s="147">
        <f>Model!AA277</f>
        <v>96743555.395356506</v>
      </c>
      <c r="W50" s="147">
        <f>Model!AB277</f>
        <v>96743555.395356506</v>
      </c>
      <c r="X50" s="147">
        <f>Model!AC277</f>
        <v>96743555.395356506</v>
      </c>
      <c r="Y50" s="147">
        <f>Model!AD277</f>
        <v>96743555.395356506</v>
      </c>
      <c r="Z50" s="147">
        <f>Model!AE277</f>
        <v>96743555.395356506</v>
      </c>
      <c r="AA50" s="147">
        <f>Model!AF277</f>
        <v>96743555.395356506</v>
      </c>
      <c r="AB50" s="147">
        <f>Model!AG277</f>
        <v>96743555.395356506</v>
      </c>
      <c r="AC50" s="147">
        <f>Model!AH277</f>
        <v>96743555.395356506</v>
      </c>
      <c r="AD50" s="147">
        <f>Model!AI277</f>
        <v>96743555.395356506</v>
      </c>
      <c r="AE50" s="147">
        <f>Model!AJ277</f>
        <v>96743555.395356506</v>
      </c>
      <c r="AF50" s="147">
        <f>Model!AK277</f>
        <v>96743555.395356506</v>
      </c>
      <c r="AG50" s="147">
        <f>Model!AL277</f>
        <v>96743555.395356506</v>
      </c>
      <c r="AH50" s="147">
        <f>Model!AM277</f>
        <v>96743555.395356506</v>
      </c>
      <c r="AI50" s="147">
        <f>Model!AN277</f>
        <v>96743555.395356506</v>
      </c>
      <c r="AJ50" s="147">
        <f>Model!AO277</f>
        <v>96743555.395356506</v>
      </c>
      <c r="AK50" s="147">
        <f>Model!AP277</f>
        <v>96743555.395356506</v>
      </c>
      <c r="AL50" s="147">
        <f>Model!AQ277</f>
        <v>96743555.395356506</v>
      </c>
      <c r="AM50" s="147">
        <f>Model!AR277</f>
        <v>96743555.395356506</v>
      </c>
      <c r="AN50" s="147">
        <f>Model!AS277</f>
        <v>96743555.395356506</v>
      </c>
      <c r="AO50" s="147">
        <f>Model!AT277</f>
        <v>96743555.395356506</v>
      </c>
      <c r="AP50" s="147">
        <f>Model!AU277</f>
        <v>96743555.395356506</v>
      </c>
    </row>
    <row r="51" spans="3:42" x14ac:dyDescent="0.35">
      <c r="D51" s="11" t="str">
        <f>Model!D278</f>
        <v>Retained earnings</v>
      </c>
      <c r="E51" s="12" t="s">
        <v>114</v>
      </c>
      <c r="F51" s="147">
        <f>Model!K278</f>
        <v>0</v>
      </c>
      <c r="G51" s="147">
        <f>Model!L278</f>
        <v>-4952760.0187667608</v>
      </c>
      <c r="H51" s="147">
        <f>Model!M278</f>
        <v>-9596095.6868683752</v>
      </c>
      <c r="I51" s="147">
        <f>Model!N278</f>
        <v>-13911331.814585276</v>
      </c>
      <c r="J51" s="147">
        <f>Model!O278</f>
        <v>-17878638.221382521</v>
      </c>
      <c r="K51" s="147">
        <f>Model!P278</f>
        <v>-21476956.260668114</v>
      </c>
      <c r="L51" s="147">
        <f>Model!Q278</f>
        <v>-18433528.850717079</v>
      </c>
      <c r="M51" s="147">
        <f>Model!R278</f>
        <v>-15509387.873837488</v>
      </c>
      <c r="N51" s="147">
        <f>Model!S278</f>
        <v>-12706281.632333379</v>
      </c>
      <c r="O51" s="147">
        <f>Model!T278</f>
        <v>-10026025.761543503</v>
      </c>
      <c r="P51" s="147">
        <f>Model!U278</f>
        <v>-7470505.055136919</v>
      </c>
      <c r="Q51" s="147">
        <f>Model!V278</f>
        <v>-7111008.2232692502</v>
      </c>
      <c r="R51" s="147">
        <f>Model!W278</f>
        <v>-6637929.7580794748</v>
      </c>
      <c r="S51" s="147">
        <f>Model!X278</f>
        <v>-16744534.951767592</v>
      </c>
      <c r="T51" s="147">
        <f>Model!Y278</f>
        <v>-28172966.443708867</v>
      </c>
      <c r="U51" s="147">
        <f>Model!Z278</f>
        <v>-39601397.93565014</v>
      </c>
      <c r="V51" s="147">
        <f>Model!AA278</f>
        <v>-51029829.427591413</v>
      </c>
      <c r="W51" s="147">
        <f>Model!AB278</f>
        <v>-62458260.919532686</v>
      </c>
      <c r="X51" s="147">
        <f>Model!AC278</f>
        <v>-73886692.41147396</v>
      </c>
      <c r="Y51" s="147">
        <f>Model!AD278</f>
        <v>-85315123.903415233</v>
      </c>
      <c r="Z51" s="147">
        <f>Model!AE278</f>
        <v>-96743555.395356506</v>
      </c>
      <c r="AA51" s="147">
        <f>Model!AF278</f>
        <v>-96743555.395356506</v>
      </c>
      <c r="AB51" s="147">
        <f>Model!AG278</f>
        <v>-96743555.395356506</v>
      </c>
      <c r="AC51" s="147">
        <f>Model!AH278</f>
        <v>-96743555.395356506</v>
      </c>
      <c r="AD51" s="147">
        <f>Model!AI278</f>
        <v>-96743555.395356506</v>
      </c>
      <c r="AE51" s="147">
        <f>Model!AJ278</f>
        <v>-96743555.395356506</v>
      </c>
      <c r="AF51" s="147">
        <f>Model!AK278</f>
        <v>-96743555.395356506</v>
      </c>
      <c r="AG51" s="147">
        <f>Model!AL278</f>
        <v>-96743555.395356506</v>
      </c>
      <c r="AH51" s="147">
        <f>Model!AM278</f>
        <v>-96743555.395356506</v>
      </c>
      <c r="AI51" s="147">
        <f>Model!AN278</f>
        <v>-96743555.395356506</v>
      </c>
      <c r="AJ51" s="147">
        <f>Model!AO278</f>
        <v>-96743555.395356506</v>
      </c>
      <c r="AK51" s="147">
        <f>Model!AP278</f>
        <v>-96743555.395356506</v>
      </c>
      <c r="AL51" s="147">
        <f>Model!AQ278</f>
        <v>-96743555.395356506</v>
      </c>
      <c r="AM51" s="147">
        <f>Model!AR278</f>
        <v>-96743555.395356506</v>
      </c>
      <c r="AN51" s="147">
        <f>Model!AS278</f>
        <v>-96743555.395356506</v>
      </c>
      <c r="AO51" s="147">
        <f>Model!AT278</f>
        <v>-96743555.395356506</v>
      </c>
      <c r="AP51" s="147">
        <f>Model!AU278</f>
        <v>-96743555.395356506</v>
      </c>
    </row>
    <row r="52" spans="3:42" ht="15" thickBot="1" x14ac:dyDescent="0.4">
      <c r="D52" s="151" t="str">
        <f>Model!D279</f>
        <v>Total Equity</v>
      </c>
      <c r="E52" s="183" t="s">
        <v>114</v>
      </c>
      <c r="F52" s="152">
        <f>Model!K279</f>
        <v>96743555.395356506</v>
      </c>
      <c r="G52" s="152">
        <f>Model!L279</f>
        <v>91790795.376589745</v>
      </c>
      <c r="H52" s="152">
        <f>Model!M279</f>
        <v>87147459.708488137</v>
      </c>
      <c r="I52" s="152">
        <f>Model!N279</f>
        <v>82832223.580771238</v>
      </c>
      <c r="J52" s="152">
        <f>Model!O279</f>
        <v>78864917.173973978</v>
      </c>
      <c r="K52" s="152">
        <f>Model!P279</f>
        <v>75266599.134688392</v>
      </c>
      <c r="L52" s="152">
        <f>Model!Q279</f>
        <v>78310026.544639423</v>
      </c>
      <c r="M52" s="152">
        <f>Model!R279</f>
        <v>81234167.52151902</v>
      </c>
      <c r="N52" s="152">
        <f>Model!S279</f>
        <v>84037273.763023123</v>
      </c>
      <c r="O52" s="152">
        <f>Model!T279</f>
        <v>86717529.633813009</v>
      </c>
      <c r="P52" s="152">
        <f>Model!U279</f>
        <v>89273050.340219587</v>
      </c>
      <c r="Q52" s="152">
        <f>Model!V279</f>
        <v>89632547.172087252</v>
      </c>
      <c r="R52" s="152">
        <f>Model!W279</f>
        <v>90105625.637277037</v>
      </c>
      <c r="S52" s="152">
        <f>Model!X279</f>
        <v>79999020.443588912</v>
      </c>
      <c r="T52" s="152">
        <f>Model!Y279</f>
        <v>68570588.951647639</v>
      </c>
      <c r="U52" s="152">
        <f>Model!Z279</f>
        <v>57142157.459706366</v>
      </c>
      <c r="V52" s="152">
        <f>Model!AA279</f>
        <v>45713725.967765093</v>
      </c>
      <c r="W52" s="152">
        <f>Model!AB279</f>
        <v>34285294.47582382</v>
      </c>
      <c r="X52" s="152">
        <f>Model!AC279</f>
        <v>22856862.983882546</v>
      </c>
      <c r="Y52" s="152">
        <f>Model!AD279</f>
        <v>11428431.491941273</v>
      </c>
      <c r="Z52" s="152">
        <f>Model!AE279</f>
        <v>0</v>
      </c>
      <c r="AA52" s="152">
        <f>Model!AF279</f>
        <v>0</v>
      </c>
      <c r="AB52" s="152">
        <f>Model!AG279</f>
        <v>0</v>
      </c>
      <c r="AC52" s="152">
        <f>Model!AH279</f>
        <v>0</v>
      </c>
      <c r="AD52" s="152">
        <f>Model!AI279</f>
        <v>0</v>
      </c>
      <c r="AE52" s="152">
        <f>Model!AJ279</f>
        <v>0</v>
      </c>
      <c r="AF52" s="152">
        <f>Model!AK279</f>
        <v>0</v>
      </c>
      <c r="AG52" s="152">
        <f>Model!AL279</f>
        <v>0</v>
      </c>
      <c r="AH52" s="152">
        <f>Model!AM279</f>
        <v>0</v>
      </c>
      <c r="AI52" s="152">
        <f>Model!AN279</f>
        <v>0</v>
      </c>
      <c r="AJ52" s="152">
        <f>Model!AO279</f>
        <v>0</v>
      </c>
      <c r="AK52" s="152">
        <f>Model!AP279</f>
        <v>0</v>
      </c>
      <c r="AL52" s="152">
        <f>Model!AQ279</f>
        <v>0</v>
      </c>
      <c r="AM52" s="152">
        <f>Model!AR279</f>
        <v>0</v>
      </c>
      <c r="AN52" s="152">
        <f>Model!AS279</f>
        <v>0</v>
      </c>
      <c r="AO52" s="152">
        <f>Model!AT279</f>
        <v>0</v>
      </c>
      <c r="AP52" s="152">
        <f>Model!AU279</f>
        <v>0</v>
      </c>
    </row>
    <row r="53" spans="3:42" ht="15" thickTop="1" x14ac:dyDescent="0.35"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</row>
    <row r="54" spans="3:42" x14ac:dyDescent="0.35">
      <c r="D54" s="11" t="str">
        <f>Model!D281</f>
        <v>Check</v>
      </c>
      <c r="E54" s="12" t="b">
        <f>SUM(F54:AP54)=0</f>
        <v>1</v>
      </c>
      <c r="F54" s="147">
        <f>(F43&lt;&gt;(F47+F52))*1</f>
        <v>0</v>
      </c>
      <c r="G54" s="147">
        <f t="shared" ref="G54:AP54" si="0">(G43&lt;&gt;(G47+G52))*1</f>
        <v>0</v>
      </c>
      <c r="H54" s="147">
        <f t="shared" si="0"/>
        <v>0</v>
      </c>
      <c r="I54" s="147">
        <f t="shared" si="0"/>
        <v>0</v>
      </c>
      <c r="J54" s="147">
        <f t="shared" si="0"/>
        <v>0</v>
      </c>
      <c r="K54" s="147">
        <f t="shared" si="0"/>
        <v>0</v>
      </c>
      <c r="L54" s="147">
        <f t="shared" si="0"/>
        <v>0</v>
      </c>
      <c r="M54" s="147">
        <f t="shared" si="0"/>
        <v>0</v>
      </c>
      <c r="N54" s="147">
        <f t="shared" si="0"/>
        <v>0</v>
      </c>
      <c r="O54" s="147">
        <f t="shared" si="0"/>
        <v>0</v>
      </c>
      <c r="P54" s="147">
        <f t="shared" si="0"/>
        <v>0</v>
      </c>
      <c r="Q54" s="147">
        <f t="shared" si="0"/>
        <v>0</v>
      </c>
      <c r="R54" s="147">
        <f t="shared" si="0"/>
        <v>0</v>
      </c>
      <c r="S54" s="147">
        <f t="shared" si="0"/>
        <v>0</v>
      </c>
      <c r="T54" s="147">
        <f t="shared" si="0"/>
        <v>0</v>
      </c>
      <c r="U54" s="147">
        <f t="shared" si="0"/>
        <v>0</v>
      </c>
      <c r="V54" s="147">
        <f t="shared" si="0"/>
        <v>0</v>
      </c>
      <c r="W54" s="147">
        <f t="shared" si="0"/>
        <v>0</v>
      </c>
      <c r="X54" s="147">
        <f t="shared" si="0"/>
        <v>0</v>
      </c>
      <c r="Y54" s="147">
        <f t="shared" si="0"/>
        <v>0</v>
      </c>
      <c r="Z54" s="147">
        <f t="shared" si="0"/>
        <v>0</v>
      </c>
      <c r="AA54" s="147">
        <f t="shared" si="0"/>
        <v>0</v>
      </c>
      <c r="AB54" s="147">
        <f t="shared" si="0"/>
        <v>0</v>
      </c>
      <c r="AC54" s="147">
        <f t="shared" si="0"/>
        <v>0</v>
      </c>
      <c r="AD54" s="147">
        <f t="shared" si="0"/>
        <v>0</v>
      </c>
      <c r="AE54" s="147">
        <f t="shared" si="0"/>
        <v>0</v>
      </c>
      <c r="AF54" s="147">
        <f t="shared" si="0"/>
        <v>0</v>
      </c>
      <c r="AG54" s="147">
        <f t="shared" si="0"/>
        <v>0</v>
      </c>
      <c r="AH54" s="147">
        <f t="shared" si="0"/>
        <v>0</v>
      </c>
      <c r="AI54" s="147">
        <f t="shared" si="0"/>
        <v>0</v>
      </c>
      <c r="AJ54" s="147">
        <f t="shared" si="0"/>
        <v>0</v>
      </c>
      <c r="AK54" s="147">
        <f t="shared" si="0"/>
        <v>0</v>
      </c>
      <c r="AL54" s="147">
        <f t="shared" si="0"/>
        <v>0</v>
      </c>
      <c r="AM54" s="147">
        <f t="shared" si="0"/>
        <v>0</v>
      </c>
      <c r="AN54" s="147">
        <f t="shared" si="0"/>
        <v>0</v>
      </c>
      <c r="AO54" s="147">
        <f t="shared" si="0"/>
        <v>0</v>
      </c>
      <c r="AP54" s="14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Sensitivity</vt:lpstr>
      <vt:lpstr>Input</vt:lpstr>
      <vt:lpstr>Model</vt:lpstr>
      <vt:lpstr>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Vinci Chan</dc:creator>
  <cp:lastModifiedBy>Vinci Chan</cp:lastModifiedBy>
  <dcterms:created xsi:type="dcterms:W3CDTF">2026-06-04T16:11:57Z</dcterms:created>
  <dcterms:modified xsi:type="dcterms:W3CDTF">2026-06-08T01:27:14Z</dcterms:modified>
</cp:coreProperties>
</file>